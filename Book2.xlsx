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MNEER\Documents\"/>
    </mc:Choice>
  </mc:AlternateContent>
  <xr:revisionPtr revIDLastSave="0" documentId="8_{18383E0B-3ECA-4CE0-8E7B-D1A5E92C4C35}" xr6:coauthVersionLast="47" xr6:coauthVersionMax="47" xr10:uidLastSave="{00000000-0000-0000-0000-000000000000}"/>
  <bookViews>
    <workbookView xWindow="3240" yWindow="2304" windowWidth="17280" windowHeight="8880" activeTab="1" xr2:uid="{B8764442-8889-44E9-8453-4FDC58AA6913}"/>
  </bookViews>
  <sheets>
    <sheet name="Sheet1" sheetId="1" r:id="rId1"/>
    <sheet name="Table002 (Page 2)" sheetId="3" r:id="rId2"/>
    <sheet name="Sheet2" sheetId="2" r:id="rId3"/>
  </sheets>
  <definedNames>
    <definedName name="ExternalData_1" localSheetId="1" hidden="1">'Table002 (Page 2)'!$A$1:$D$11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 a="1"/>
  <c r="G3" i="3" s="1"/>
  <c r="G4" i="3" a="1"/>
  <c r="G4" i="3"/>
  <c r="G5" i="3" a="1"/>
  <c r="G5" i="3" s="1"/>
  <c r="G6" i="3" a="1"/>
  <c r="G6" i="3" s="1"/>
  <c r="G7" i="3" a="1"/>
  <c r="G7" i="3" s="1"/>
  <c r="G8" i="3" a="1"/>
  <c r="G8" i="3"/>
  <c r="G9" i="3" a="1"/>
  <c r="G9" i="3"/>
  <c r="G10" i="3" a="1"/>
  <c r="G10" i="3" s="1"/>
  <c r="G11" i="3" a="1"/>
  <c r="G11" i="3" s="1"/>
  <c r="G2" i="3" a="1"/>
  <c r="G2" i="3" s="1"/>
  <c r="A15" i="3" a="1"/>
  <c r="A15" i="3"/>
  <c r="F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AD2879-54AD-4C40-BEAD-EDAD5F3084AB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<sst xmlns="http://schemas.openxmlformats.org/spreadsheetml/2006/main" count="28" uniqueCount="19">
  <si>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</si>
  <si>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</si>
  <si>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</si>
  <si>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</si>
  <si>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</si>
  <si>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</si>
  <si>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</si>
  <si>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</si>
  <si>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</si>
  <si>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</si>
  <si>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</si>
  <si>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</si>
  <si>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</si>
  <si>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</si>
  <si>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</si>
  <si>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South only</t>
  </si>
  <si>
    <t xml:space="preserve">Median </t>
  </si>
  <si>
    <t>We can calcualte the average sales using median</t>
  </si>
  <si>
    <t>Excel formula to calculate this metric for Region = "South", ignoring 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</si>
</sst>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A796AA-6B14-47A1-ADA2-988EA63E38B6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roduct" tableColumnId="2"/>
      <queryTableField id="3" name="Sales_Amount" tableColumnId="3"/>
      <queryTableField id="4" name="Regio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7DC56F-51CE-4D98-A447-3E37FFEF7383}" name="Table002__Page_2" displayName="Table002__Page_2" ref="A1:D11" tableType="queryTable" totalsRowShown="0">
  <autoFilter ref="A1:D11" xr:uid="{557DC56F-51CE-4D98-A447-3E37FFEF7383}"/>
  <tableColumns count="4">
    <tableColumn id="1" xr3:uid="{AA99D6EA-AE34-478C-8A8E-90D20E7F0E0B}" uniqueName="1" name="Date" queryTableFieldId="1" dataDxfId="2"/>
    <tableColumn id="2" xr3:uid="{DDD29EFC-62AE-42BC-B916-E27025CC0766}" uniqueName="2" name="Product" queryTableFieldId="2" dataDxfId="1"/>
    <tableColumn id="3" xr3:uid="{0C18D815-3F7B-4FF4-8E53-18FF3554078E}" uniqueName="3" name="Sales_Amount" queryTableFieldId="3"/>
    <tableColumn id="4" xr3:uid="{AEDB647B-F030-4CCF-A4B3-AF973B26C092}" uniqueName="4" name="Reg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EBC1-761E-47ED-A317-8D77F0E1C6A3}">
  <dimension ref="A1"/>
  <sheetViews>
    <sheetView workbookViewId="0"/>
  </sheetViews>
  <sheetFormatPr defaultRowHeight="14.4" x14ac:dyDescent="0.3"/>
  <cols>
    <col min="1" max="1" width="13.88671875" customWidth="1"/>
  </cols>
  <sheetData>
    <row r="1" ht="229.8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D01A-67F1-41FB-9097-BD819213B239}">
  <dimension ref="A1:G16"/>
  <sheetViews>
    <sheetView tabSelected="1" workbookViewId="0">
      <selection activeCell="J6" sqref="J6:K6"/>
    </sheetView>
  </sheetViews>
  <sheetFormatPr defaultRowHeight="14.4" x14ac:dyDescent="0.3"/>
  <cols>
    <col min="1" max="1" width="10.33203125" bestFit="1" customWidth="1"/>
    <col min="2" max="2" width="11.21875" bestFit="1" customWidth="1"/>
    <col min="3" max="3" width="15" bestFit="1" customWidth="1"/>
    <col min="4" max="4" width="8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F1" t="s">
        <v>15</v>
      </c>
    </row>
    <row r="2" spans="1:7" x14ac:dyDescent="0.3">
      <c r="A2" s="1">
        <v>46023</v>
      </c>
      <c r="B2" s="2" t="s">
        <v>4</v>
      </c>
      <c r="C2">
        <v>25000</v>
      </c>
      <c r="D2" s="2" t="s">
        <v>5</v>
      </c>
      <c r="F2">
        <f>AVERAGEIFS(C2:C11,D2:D11,"South")</f>
        <v>66366.666666666672</v>
      </c>
      <c r="G2" cm="1">
        <f t="array" ref="G2">TRIMMEAN(IF(D2:D11="South", C2:C11), 0.2)</f>
        <v>56885.714285714283</v>
      </c>
    </row>
    <row r="3" spans="1:7" x14ac:dyDescent="0.3">
      <c r="A3" s="1">
        <v>46024</v>
      </c>
      <c r="B3" s="2" t="s">
        <v>6</v>
      </c>
      <c r="C3">
        <v>18000</v>
      </c>
      <c r="D3" s="2" t="s">
        <v>5</v>
      </c>
      <c r="G3" cm="1">
        <f t="array" ref="G3">TRIMMEAN(IF(D3:D12="South", C3:C12), 0.2)</f>
        <v>62200</v>
      </c>
    </row>
    <row r="4" spans="1:7" x14ac:dyDescent="0.3">
      <c r="A4" s="1">
        <v>46025</v>
      </c>
      <c r="B4" s="2" t="s">
        <v>7</v>
      </c>
      <c r="D4" s="2" t="s">
        <v>5</v>
      </c>
      <c r="G4" cm="1">
        <f t="array" ref="G4">TRIMMEAN(IF(D4:D13="South", C4:C13), 0.2)</f>
        <v>71040</v>
      </c>
    </row>
    <row r="5" spans="1:7" x14ac:dyDescent="0.3">
      <c r="A5" s="1">
        <v>46026</v>
      </c>
      <c r="B5" s="2" t="s">
        <v>4</v>
      </c>
      <c r="C5">
        <v>300000</v>
      </c>
      <c r="D5" s="2" t="s">
        <v>5</v>
      </c>
      <c r="G5" cm="1">
        <f t="array" ref="G5">TRIMMEAN(IF(D5:D14="South", C5:C14), 0.2)</f>
        <v>88800</v>
      </c>
    </row>
    <row r="6" spans="1:7" x14ac:dyDescent="0.3">
      <c r="A6" s="1">
        <v>46027</v>
      </c>
      <c r="B6" s="2" t="s">
        <v>8</v>
      </c>
      <c r="C6">
        <v>4500</v>
      </c>
      <c r="D6" s="2" t="s">
        <v>9</v>
      </c>
      <c r="G6" cm="1">
        <f t="array" ref="G6">TRIMMEAN(IF(D6:D15="South", C6:C15), 0.2)</f>
        <v>18400</v>
      </c>
    </row>
    <row r="7" spans="1:7" x14ac:dyDescent="0.3">
      <c r="A7" s="1">
        <v>46028</v>
      </c>
      <c r="B7" s="2" t="s">
        <v>10</v>
      </c>
      <c r="C7">
        <v>5200</v>
      </c>
      <c r="D7" s="2" t="s">
        <v>5</v>
      </c>
      <c r="G7" cm="1">
        <f t="array" ref="G7">TRIMMEAN(IF(D7:D16="South", C7:C16), 0.2)</f>
        <v>18400</v>
      </c>
    </row>
    <row r="8" spans="1:7" x14ac:dyDescent="0.3">
      <c r="A8" s="1">
        <v>46029</v>
      </c>
      <c r="B8" s="2" t="s">
        <v>6</v>
      </c>
      <c r="C8">
        <v>19000</v>
      </c>
      <c r="D8" s="2" t="s">
        <v>11</v>
      </c>
      <c r="G8" cm="1">
        <f t="array" ref="G8">TRIMMEAN(IF(D8:D17="South", C8:C17), 0.2)</f>
        <v>25000</v>
      </c>
    </row>
    <row r="9" spans="1:7" x14ac:dyDescent="0.3">
      <c r="A9" s="1">
        <v>46030</v>
      </c>
      <c r="B9" s="2" t="s">
        <v>4</v>
      </c>
      <c r="C9">
        <v>26000</v>
      </c>
      <c r="D9" s="2" t="s">
        <v>5</v>
      </c>
      <c r="G9" cm="1">
        <f t="array" ref="G9">TRIMMEAN(IF(D9:D18="South", C9:C18), 0.2)</f>
        <v>25000</v>
      </c>
    </row>
    <row r="10" spans="1:7" x14ac:dyDescent="0.3">
      <c r="A10" s="1">
        <v>46031</v>
      </c>
      <c r="B10" s="2" t="s">
        <v>12</v>
      </c>
      <c r="D10" s="2" t="s">
        <v>13</v>
      </c>
      <c r="G10" cm="1">
        <f t="array" ref="G10">TRIMMEAN(IF(D10:D19="South", C10:C19), 0.2)</f>
        <v>24000</v>
      </c>
    </row>
    <row r="11" spans="1:7" x14ac:dyDescent="0.3">
      <c r="A11" s="1">
        <v>46032</v>
      </c>
      <c r="B11" s="2" t="s">
        <v>14</v>
      </c>
      <c r="C11">
        <v>24000</v>
      </c>
      <c r="D11" s="2" t="s">
        <v>5</v>
      </c>
      <c r="G11" cm="1">
        <f t="array" ref="G11">TRIMMEAN(IF(D11:D20="South", C11:C20), 0.2)</f>
        <v>24000</v>
      </c>
    </row>
    <row r="14" spans="1:7" x14ac:dyDescent="0.3">
      <c r="A14" t="s">
        <v>16</v>
      </c>
      <c r="B14" t="s">
        <v>17</v>
      </c>
    </row>
    <row r="15" spans="1:7" x14ac:dyDescent="0.3">
      <c r="A15" cm="1">
        <f t="array" ref="A15">MEDIAN(IF(D2:D11="South", C2:C11))</f>
        <v>24000</v>
      </c>
    </row>
    <row r="16" spans="1:7" x14ac:dyDescent="0.3">
      <c r="A16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700F-6AF2-433D-A59E-7246FEE909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8666B9-33C4-41F2-9F20-FA07E950BF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Table002 (Page 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Shamneer Chemmi</dc:creator>
  <cp:lastModifiedBy>Shamneer Chemmi</cp:lastModifiedBy>
  <dcterms:created xsi:type="dcterms:W3CDTF">2026-02-01T09:21:56Z</dcterms:created>
  <dcterms:modified xsi:type="dcterms:W3CDTF">2026-02-01T10:24:20Z</dcterms:modified>
</cp:coreProperties>
</file>