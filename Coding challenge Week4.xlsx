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HAMNEER\Documents\"/>
    </mc:Choice>
  </mc:AlternateContent>
  <xr:revisionPtr revIDLastSave="0" documentId="8_{A53C52C9-26A3-48B2-9A27-898D059EB05F}" xr6:coauthVersionLast="47" xr6:coauthVersionMax="47" xr10:uidLastSave="{00000000-0000-0000-0000-000000000000}"/>
  <bookViews>
    <workbookView xWindow="-108" yWindow="-108" windowWidth="23256" windowHeight="12456" activeTab="2" xr2:uid="{C7031C12-1665-405D-88E6-967F329AA92C}"/>
  </bookViews>
  <sheets>
    <sheet name="Sheet4" sheetId="4" r:id="rId1"/>
    <sheet name="Data" sheetId="2" r:id="rId2"/>
    <sheet name="Dashboard" sheetId="6" r:id="rId3"/>
  </sheets>
  <definedNames>
    <definedName name="Slicer_ProductID">#N/A</definedName>
    <definedName name="Slicer_ProductName">#N/A</definedName>
    <definedName name="Slicer_RegionID">#N/A</definedName>
  </definedNames>
  <calcPr calcId="191029"/>
  <pivotCaches>
    <pivotCache cacheId="0" r:id="rId4"/>
    <pivotCache cacheId="5" r:id="rId5"/>
    <pivotCache cacheId="2"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2" l="1"/>
  <c r="B48" i="2" s="1"/>
  <c r="G47" i="2"/>
  <c r="G48" i="2" s="1"/>
  <c r="G49" i="2" l="1"/>
  <c r="B49" i="2"/>
  <c r="C48" i="2" l="1"/>
  <c r="C49" i="2" s="1"/>
  <c r="C47" i="2"/>
  <c r="H47" i="2"/>
  <c r="H48" i="2"/>
  <c r="H49" i="2"/>
  <c r="F47" i="2"/>
  <c r="F48" i="2"/>
  <c r="F49" i="2"/>
  <c r="E47" i="2"/>
  <c r="E48" i="2"/>
  <c r="E49" i="2"/>
  <c r="D47" i="2"/>
  <c r="D48" i="2"/>
  <c r="D49" i="2"/>
  <c r="A47" i="2"/>
  <c r="A48" i="2"/>
  <c r="A49" i="2"/>
</calcChain>
</file>

<file path=xl/sharedStrings.xml><?xml version="1.0" encoding="utf-8"?>
<sst xmlns="http://schemas.openxmlformats.org/spreadsheetml/2006/main" count="235" uniqueCount="59">
  <si>
    <t>OrderID</t>
  </si>
  <si>
    <t>OrderDate</t>
  </si>
  <si>
    <t>ProductID</t>
  </si>
  <si>
    <t>ProductName</t>
  </si>
  <si>
    <t>Category</t>
  </si>
  <si>
    <t>RegionID</t>
  </si>
  <si>
    <t>Quantity</t>
  </si>
  <si>
    <t>SalesAmount</t>
  </si>
  <si>
    <t>P101</t>
  </si>
  <si>
    <t>Laptop</t>
  </si>
  <si>
    <t>Electronics</t>
  </si>
  <si>
    <t>P102</t>
  </si>
  <si>
    <t>Smartphone</t>
  </si>
  <si>
    <t>P105</t>
  </si>
  <si>
    <t>Mouse</t>
  </si>
  <si>
    <t>Accessories</t>
  </si>
  <si>
    <t>P107</t>
  </si>
  <si>
    <t>Monitor</t>
  </si>
  <si>
    <t>P103</t>
  </si>
  <si>
    <t>Headphones</t>
  </si>
  <si>
    <t>P104</t>
  </si>
  <si>
    <t>Tablet</t>
  </si>
  <si>
    <t>P110</t>
  </si>
  <si>
    <t>Webcam</t>
  </si>
  <si>
    <t>P108</t>
  </si>
  <si>
    <t>Printer</t>
  </si>
  <si>
    <t>P109</t>
  </si>
  <si>
    <t>Smartwatch</t>
  </si>
  <si>
    <t>P106</t>
  </si>
  <si>
    <t>Keyboard</t>
  </si>
  <si>
    <t>Row Labels</t>
  </si>
  <si>
    <t>Sum of SalesAmount</t>
  </si>
  <si>
    <t>Grand Total</t>
  </si>
  <si>
    <t>Sum of OrderID</t>
  </si>
  <si>
    <t>Column Labels</t>
  </si>
  <si>
    <t>North</t>
  </si>
  <si>
    <t>South</t>
  </si>
  <si>
    <t>East</t>
  </si>
  <si>
    <t>West</t>
  </si>
  <si>
    <t>Central</t>
  </si>
  <si>
    <t>Jan</t>
  </si>
  <si>
    <t>Feb</t>
  </si>
  <si>
    <t>Mar</t>
  </si>
  <si>
    <t>Apr</t>
  </si>
  <si>
    <t>May</t>
  </si>
  <si>
    <t>Jun</t>
  </si>
  <si>
    <t>Jul</t>
  </si>
  <si>
    <t>Aug</t>
  </si>
  <si>
    <t>Sep</t>
  </si>
  <si>
    <t>Oct</t>
  </si>
  <si>
    <t>Nov</t>
  </si>
  <si>
    <t>Dec</t>
  </si>
  <si>
    <t>Total revenue of the year</t>
  </si>
  <si>
    <t>Best Selling Product</t>
  </si>
  <si>
    <t>Top region</t>
  </si>
  <si>
    <t>Sales Dashbord</t>
  </si>
  <si>
    <t xml:space="preserve"> </t>
  </si>
  <si>
    <t>Overall Business Performance
In 2025, the company recorded ₹21.03 million in total sales from 141 units sold, showing strong demand across both Electronics and Accessories categories. Sales performance remained consistent throughout the year with visible spikes during April, July, October, and December, indicating seasonal demand and successful promotional or festive period sales.</t>
  </si>
  <si>
    <t>Business insights and quick summaries for decision-making are achieved by converting technical IDs such as P101 and R1 into meaningful names like Laptop and North, ensuring that managers can quickly understand the data without interpreting codes. By using date and time functions such as MONTH, YEAR, and QUARTER, the dashboard is able to analyze trends, growth patterns, seasonality, and budgeting cycles across different time periods. This approach allows the dashboard to automatically identify the best-performing month, the fastest-growing period, the strongest weekday, the top-performing quarter, and overall sales seasonality, enabling leadership to make faster, data-driven decisions with clear and actionable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</si>
</sst>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FF0000"/>
      <name val="Aptos Narrow"/>
      <family val="2"/>
      <scheme val="minor"/>
    </font>
    <font>
      <sz val="48"/>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6">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0" borderId="0" xfId="0" applyFont="1"/>
    <xf numFmtId="0" fontId="0" fillId="0" borderId="0" xfId="0" applyNumberFormat="1"/>
    <xf numFmtId="0" fontId="0" fillId="2" borderId="0" xfId="0" applyFill="1"/>
    <xf numFmtId="0" fontId="0" fillId="2" borderId="0" xfId="0" applyFill="1" applyAlignment="1">
      <alignment horizontal="center"/>
    </xf>
    <xf numFmtId="0" fontId="3" fillId="2" borderId="0" xfId="0" applyFont="1" applyFill="1" applyAlignment="1">
      <alignment horizontal="center"/>
    </xf>
    <xf numFmtId="0" fontId="0" fillId="2" borderId="0" xfId="0" applyFill="1" applyAlignment="1">
      <alignment horizontal="center" wrapText="1"/>
    </xf>
    <xf numFmtId="0" fontId="4" fillId="0" borderId="0" xfId="0" applyFont="1" applyAlignment="1">
      <alignment vertical="center"/>
    </xf>
    <xf numFmtId="0" fontId="2" fillId="3" borderId="0" xfId="0" applyFont="1" applyFill="1" applyAlignment="1">
      <alignment horizontal="center" wrapText="1"/>
    </xf>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Sheet4!$A$5:$A$10</c:f>
              <c:strCache>
                <c:ptCount val="5"/>
                <c:pt idx="0">
                  <c:v>Central</c:v>
                </c:pt>
                <c:pt idx="1">
                  <c:v>East</c:v>
                </c:pt>
                <c:pt idx="2">
                  <c:v>North</c:v>
                </c:pt>
                <c:pt idx="3">
                  <c:v>South</c:v>
                </c:pt>
                <c:pt idx="4">
                  <c:v>West</c:v>
                </c:pt>
              </c:strCache>
            </c:strRef>
          </c:cat>
          <c:val>
            <c:numRef>
              <c:f>Sheet4!$B$5:$B$10</c:f>
              <c:numCache>
                <c:formatCode>General</c:formatCode>
                <c:ptCount val="5"/>
                <c:pt idx="0">
                  <c:v>6108</c:v>
                </c:pt>
                <c:pt idx="1">
                  <c:v>4086</c:v>
                </c:pt>
                <c:pt idx="2">
                  <c:v>1041</c:v>
                </c:pt>
                <c:pt idx="3">
                  <c:v>2040</c:v>
                </c:pt>
                <c:pt idx="4">
                  <c:v>1029</c:v>
                </c:pt>
              </c:numCache>
            </c:numRef>
          </c:val>
          <c:extLst>
            <c:ext xmlns:c16="http://schemas.microsoft.com/office/drawing/2014/chart" uri="{C3380CC4-5D6E-409C-BE32-E72D297353CC}">
              <c16:uniqueId val="{00000000-8BAD-4E8F-B487-7D713F097C39}"/>
            </c:ext>
          </c:extLst>
        </c:ser>
        <c:ser>
          <c:idx val="1"/>
          <c:order val="1"/>
          <c:tx>
            <c:strRef>
              <c:f>Sheet4!$C$3:$C$4</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Sheet4!$A$5:$A$10</c:f>
              <c:strCache>
                <c:ptCount val="5"/>
                <c:pt idx="0">
                  <c:v>Central</c:v>
                </c:pt>
                <c:pt idx="1">
                  <c:v>East</c:v>
                </c:pt>
                <c:pt idx="2">
                  <c:v>North</c:v>
                </c:pt>
                <c:pt idx="3">
                  <c:v>South</c:v>
                </c:pt>
                <c:pt idx="4">
                  <c:v>West</c:v>
                </c:pt>
              </c:strCache>
            </c:strRef>
          </c:cat>
          <c:val>
            <c:numRef>
              <c:f>Sheet4!$C$5:$C$10</c:f>
              <c:numCache>
                <c:formatCode>General</c:formatCode>
                <c:ptCount val="5"/>
                <c:pt idx="0">
                  <c:v>3092</c:v>
                </c:pt>
                <c:pt idx="1">
                  <c:v>5138</c:v>
                </c:pt>
                <c:pt idx="2">
                  <c:v>8148</c:v>
                </c:pt>
                <c:pt idx="3">
                  <c:v>7162</c:v>
                </c:pt>
                <c:pt idx="4">
                  <c:v>8191</c:v>
                </c:pt>
              </c:numCache>
            </c:numRef>
          </c:val>
          <c:extLst>
            <c:ext xmlns:c16="http://schemas.microsoft.com/office/drawing/2014/chart" uri="{C3380CC4-5D6E-409C-BE32-E72D297353CC}">
              <c16:uniqueId val="{00000003-CE4B-4B0E-9831-7A169AEBFFA0}"/>
            </c:ext>
          </c:extLst>
        </c:ser>
        <c:dLbls>
          <c:showLegendKey val="0"/>
          <c:showVal val="0"/>
          <c:showCatName val="0"/>
          <c:showSerName val="0"/>
          <c:showPercent val="0"/>
          <c:showBubbleSize val="0"/>
        </c:dLbls>
        <c:gapWidth val="150"/>
        <c:shape val="box"/>
        <c:axId val="1617329103"/>
        <c:axId val="1617332463"/>
        <c:axId val="0"/>
      </c:bar3DChart>
      <c:catAx>
        <c:axId val="161732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332463"/>
        <c:crosses val="autoZero"/>
        <c:auto val="1"/>
        <c:lblAlgn val="ctr"/>
        <c:lblOffset val="100"/>
        <c:noMultiLvlLbl val="0"/>
      </c:catAx>
      <c:valAx>
        <c:axId val="16173324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32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Sheet4!$C$45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57-4926-BBBA-9F91611147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57-4926-BBBA-9F91611147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57-4926-BBBA-9F916111470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57-4926-BBBA-9F916111470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57-4926-BBBA-9F9161114706}"/>
              </c:ext>
            </c:extLst>
          </c:dPt>
          <c:cat>
            <c:strRef>
              <c:f>Sheet4!$B$46:$B$51</c:f>
              <c:strCache>
                <c:ptCount val="5"/>
                <c:pt idx="0">
                  <c:v>Smartphone</c:v>
                </c:pt>
                <c:pt idx="1">
                  <c:v>Laptop</c:v>
                </c:pt>
                <c:pt idx="2">
                  <c:v>Tablet</c:v>
                </c:pt>
                <c:pt idx="3">
                  <c:v>Monitor</c:v>
                </c:pt>
                <c:pt idx="4">
                  <c:v>Printer</c:v>
                </c:pt>
              </c:strCache>
            </c:strRef>
          </c:cat>
          <c:val>
            <c:numRef>
              <c:f>Sheet4!$C$46:$C$51</c:f>
              <c:numCache>
                <c:formatCode>General</c:formatCode>
                <c:ptCount val="5"/>
                <c:pt idx="0">
                  <c:v>770000</c:v>
                </c:pt>
                <c:pt idx="1">
                  <c:v>340000</c:v>
                </c:pt>
                <c:pt idx="2">
                  <c:v>300000</c:v>
                </c:pt>
                <c:pt idx="3">
                  <c:v>225000</c:v>
                </c:pt>
                <c:pt idx="4">
                  <c:v>120000</c:v>
                </c:pt>
              </c:numCache>
            </c:numRef>
          </c:val>
          <c:extLst>
            <c:ext xmlns:c16="http://schemas.microsoft.com/office/drawing/2014/chart" uri="{C3380CC4-5D6E-409C-BE32-E72D297353CC}">
              <c16:uniqueId val="{00000000-6FA2-467F-B60F-E2D7897C8F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Week4.xlsx]Sheet4!PivotTable5</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Sheet4!$B$24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Sheet4!$A$25:$A$37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Sheet4!$B$25:$B$37</c:f>
              <c:numCache>
                <c:formatCode>General</c:formatCode>
                <c:ptCount val="12"/>
                <c:pt idx="0">
                  <c:v>157500</c:v>
                </c:pt>
                <c:pt idx="1">
                  <c:v>200000</c:v>
                </c:pt>
                <c:pt idx="2">
                  <c:v>125000</c:v>
                </c:pt>
                <c:pt idx="3">
                  <c:v>240000</c:v>
                </c:pt>
                <c:pt idx="4">
                  <c:v>140000</c:v>
                </c:pt>
                <c:pt idx="5">
                  <c:v>189000</c:v>
                </c:pt>
                <c:pt idx="6">
                  <c:v>178000</c:v>
                </c:pt>
                <c:pt idx="7">
                  <c:v>107500</c:v>
                </c:pt>
                <c:pt idx="8">
                  <c:v>142000</c:v>
                </c:pt>
                <c:pt idx="9">
                  <c:v>155000</c:v>
                </c:pt>
                <c:pt idx="10">
                  <c:v>174000</c:v>
                </c:pt>
                <c:pt idx="11">
                  <c:v>295000</c:v>
                </c:pt>
              </c:numCache>
            </c:numRef>
          </c:val>
          <c:smooth val="0"/>
          <c:extLst>
            <c:ext xmlns:c16="http://schemas.microsoft.com/office/drawing/2014/chart" uri="{C3380CC4-5D6E-409C-BE32-E72D297353CC}">
              <c16:uniqueId val="{00000000-166B-4760-A020-1162B27DEC0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5064591"/>
        <c:axId val="1895066991"/>
      </c:lineChart>
      <c:catAx>
        <c:axId val="18950645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95066991"/>
        <c:crosses val="autoZero"/>
        <c:auto val="1"/>
        <c:lblAlgn val="ctr"/>
        <c:lblOffset val="100"/>
        <c:noMultiLvlLbl val="0"/>
      </c:catAx>
      <c:valAx>
        <c:axId val="189506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506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Sheet4!$C$61</c:f>
              <c:strCache>
                <c:ptCount val="1"/>
                <c:pt idx="0">
                  <c:v>Total</c:v>
                </c:pt>
              </c:strCache>
            </c:strRef>
          </c:tx>
          <c:spPr>
            <a:solidFill>
              <a:schemeClr val="accent1"/>
            </a:solidFill>
            <a:ln>
              <a:noFill/>
            </a:ln>
            <a:effectLst/>
          </c:spPr>
          <c:invertIfNegative val="0"/>
          <c:cat>
            <c:strRef>
              <c:f>Sheet4!$B$62:$B$69</c:f>
              <c:strCache>
                <c:ptCount val="7"/>
                <c:pt idx="0">
                  <c:v>1001</c:v>
                </c:pt>
                <c:pt idx="1">
                  <c:v>1009</c:v>
                </c:pt>
                <c:pt idx="2">
                  <c:v>1018</c:v>
                </c:pt>
                <c:pt idx="3">
                  <c:v>1025</c:v>
                </c:pt>
                <c:pt idx="4">
                  <c:v>1031</c:v>
                </c:pt>
                <c:pt idx="5">
                  <c:v>1040</c:v>
                </c:pt>
                <c:pt idx="6">
                  <c:v>1045</c:v>
                </c:pt>
              </c:strCache>
            </c:strRef>
          </c:cat>
          <c:val>
            <c:numRef>
              <c:f>Sheet4!$C$62:$C$69</c:f>
              <c:numCache>
                <c:formatCode>General</c:formatCode>
                <c:ptCount val="7"/>
                <c:pt idx="0">
                  <c:v>40000</c:v>
                </c:pt>
                <c:pt idx="1">
                  <c:v>60000</c:v>
                </c:pt>
                <c:pt idx="2">
                  <c:v>40000</c:v>
                </c:pt>
                <c:pt idx="3">
                  <c:v>20000</c:v>
                </c:pt>
                <c:pt idx="4">
                  <c:v>60000</c:v>
                </c:pt>
                <c:pt idx="5">
                  <c:v>40000</c:v>
                </c:pt>
                <c:pt idx="6">
                  <c:v>80000</c:v>
                </c:pt>
              </c:numCache>
            </c:numRef>
          </c:val>
          <c:extLst>
            <c:ext xmlns:c16="http://schemas.microsoft.com/office/drawing/2014/chart" uri="{C3380CC4-5D6E-409C-BE32-E72D297353CC}">
              <c16:uniqueId val="{00000000-DF28-4209-A3AA-B918370FE26D}"/>
            </c:ext>
          </c:extLst>
        </c:ser>
        <c:dLbls>
          <c:showLegendKey val="0"/>
          <c:showVal val="0"/>
          <c:showCatName val="0"/>
          <c:showSerName val="0"/>
          <c:showPercent val="0"/>
          <c:showBubbleSize val="0"/>
        </c:dLbls>
        <c:gapWidth val="182"/>
        <c:axId val="1715888287"/>
        <c:axId val="1715891647"/>
      </c:barChart>
      <c:catAx>
        <c:axId val="171588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891647"/>
        <c:crosses val="autoZero"/>
        <c:auto val="1"/>
        <c:lblAlgn val="ctr"/>
        <c:lblOffset val="100"/>
        <c:noMultiLvlLbl val="0"/>
      </c:catAx>
      <c:valAx>
        <c:axId val="171589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88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Week4.xlsx]Sheet4!PivotTable4</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Sheet4!$B$3:$B$4</c:f>
              <c:strCache>
                <c:ptCount val="1"/>
                <c:pt idx="0">
                  <c:v>Accessories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Sheet4!$A$5:$A$10</c:f>
              <c:strCache>
                <c:ptCount val="5"/>
                <c:pt idx="0">
                  <c:v>Central</c:v>
                </c:pt>
                <c:pt idx="1">
                  <c:v>East</c:v>
                </c:pt>
                <c:pt idx="2">
                  <c:v>North</c:v>
                </c:pt>
                <c:pt idx="3">
                  <c:v>South</c:v>
                </c:pt>
                <c:pt idx="4">
                  <c:v>West</c:v>
                </c:pt>
              </c:strCache>
            </c:strRef>
          </c:cat>
          <c:val>
            <c:numRef>
              <c:f>Sheet4!$B$5:$B$10</c:f>
              <c:numCache>
                <c:formatCode>General</c:formatCode>
                <c:ptCount val="5"/>
                <c:pt idx="0">
                  <c:v>6108</c:v>
                </c:pt>
                <c:pt idx="1">
                  <c:v>4086</c:v>
                </c:pt>
                <c:pt idx="2">
                  <c:v>1041</c:v>
                </c:pt>
                <c:pt idx="3">
                  <c:v>2040</c:v>
                </c:pt>
                <c:pt idx="4">
                  <c:v>1029</c:v>
                </c:pt>
              </c:numCache>
            </c:numRef>
          </c:val>
          <c:extLst>
            <c:ext xmlns:c16="http://schemas.microsoft.com/office/drawing/2014/chart" uri="{C3380CC4-5D6E-409C-BE32-E72D297353CC}">
              <c16:uniqueId val="{00000000-A011-47E6-8192-9A3778573F7A}"/>
            </c:ext>
          </c:extLst>
        </c:ser>
        <c:ser>
          <c:idx val="1"/>
          <c:order val="1"/>
          <c:tx>
            <c:strRef>
              <c:f>Sheet4!$C$3:$C$4</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Sheet4!$A$5:$A$10</c:f>
              <c:strCache>
                <c:ptCount val="5"/>
                <c:pt idx="0">
                  <c:v>Central</c:v>
                </c:pt>
                <c:pt idx="1">
                  <c:v>East</c:v>
                </c:pt>
                <c:pt idx="2">
                  <c:v>North</c:v>
                </c:pt>
                <c:pt idx="3">
                  <c:v>South</c:v>
                </c:pt>
                <c:pt idx="4">
                  <c:v>West</c:v>
                </c:pt>
              </c:strCache>
            </c:strRef>
          </c:cat>
          <c:val>
            <c:numRef>
              <c:f>Sheet4!$C$5:$C$10</c:f>
              <c:numCache>
                <c:formatCode>General</c:formatCode>
                <c:ptCount val="5"/>
                <c:pt idx="0">
                  <c:v>3092</c:v>
                </c:pt>
                <c:pt idx="1">
                  <c:v>5138</c:v>
                </c:pt>
                <c:pt idx="2">
                  <c:v>8148</c:v>
                </c:pt>
                <c:pt idx="3">
                  <c:v>7162</c:v>
                </c:pt>
                <c:pt idx="4">
                  <c:v>8191</c:v>
                </c:pt>
              </c:numCache>
            </c:numRef>
          </c:val>
          <c:extLst>
            <c:ext xmlns:c16="http://schemas.microsoft.com/office/drawing/2014/chart" uri="{C3380CC4-5D6E-409C-BE32-E72D297353CC}">
              <c16:uniqueId val="{00000005-A011-47E6-8192-9A3778573F7A}"/>
            </c:ext>
          </c:extLst>
        </c:ser>
        <c:dLbls>
          <c:showLegendKey val="0"/>
          <c:showVal val="0"/>
          <c:showCatName val="0"/>
          <c:showSerName val="0"/>
          <c:showPercent val="0"/>
          <c:showBubbleSize val="0"/>
        </c:dLbls>
        <c:gapWidth val="150"/>
        <c:shape val="box"/>
        <c:axId val="1617329103"/>
        <c:axId val="1617332463"/>
        <c:axId val="0"/>
      </c:bar3DChart>
      <c:catAx>
        <c:axId val="161732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332463"/>
        <c:crosses val="autoZero"/>
        <c:auto val="1"/>
        <c:lblAlgn val="ctr"/>
        <c:lblOffset val="100"/>
        <c:noMultiLvlLbl val="0"/>
      </c:catAx>
      <c:valAx>
        <c:axId val="16173324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32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Week4.xlsx]Sheet4!PivotTable5</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wise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Sheet4!$B$24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Sheet4!$A$25:$A$37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Sheet4!$B$25:$B$37</c:f>
              <c:numCache>
                <c:formatCode>General</c:formatCode>
                <c:ptCount val="12"/>
                <c:pt idx="0">
                  <c:v>157500</c:v>
                </c:pt>
                <c:pt idx="1">
                  <c:v>200000</c:v>
                </c:pt>
                <c:pt idx="2">
                  <c:v>125000</c:v>
                </c:pt>
                <c:pt idx="3">
                  <c:v>240000</c:v>
                </c:pt>
                <c:pt idx="4">
                  <c:v>140000</c:v>
                </c:pt>
                <c:pt idx="5">
                  <c:v>189000</c:v>
                </c:pt>
                <c:pt idx="6">
                  <c:v>178000</c:v>
                </c:pt>
                <c:pt idx="7">
                  <c:v>107500</c:v>
                </c:pt>
                <c:pt idx="8">
                  <c:v>142000</c:v>
                </c:pt>
                <c:pt idx="9">
                  <c:v>155000</c:v>
                </c:pt>
                <c:pt idx="10">
                  <c:v>174000</c:v>
                </c:pt>
                <c:pt idx="11">
                  <c:v>295000</c:v>
                </c:pt>
              </c:numCache>
            </c:numRef>
          </c:val>
          <c:smooth val="0"/>
          <c:extLst>
            <c:ext xmlns:c16="http://schemas.microsoft.com/office/drawing/2014/chart" uri="{C3380CC4-5D6E-409C-BE32-E72D297353CC}">
              <c16:uniqueId val="{00000000-166B-4760-A020-1162B27DEC0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95064591"/>
        <c:axId val="1895066991"/>
      </c:lineChart>
      <c:catAx>
        <c:axId val="18950645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95066991"/>
        <c:crosses val="autoZero"/>
        <c:auto val="1"/>
        <c:lblAlgn val="ctr"/>
        <c:lblOffset val="100"/>
        <c:noMultiLvlLbl val="0"/>
      </c:catAx>
      <c:valAx>
        <c:axId val="189506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506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Sheet4!$C$45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BB-47F1-9D5A-6E24F40238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BB-47F1-9D5A-6E24F40238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BB-47F1-9D5A-6E24F402387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4BB-47F1-9D5A-6E24F402387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4BB-47F1-9D5A-6E24F402387F}"/>
              </c:ext>
            </c:extLst>
          </c:dPt>
          <c:cat>
            <c:strRef>
              <c:f>Sheet4!$B$46:$B$51</c:f>
              <c:strCache>
                <c:ptCount val="5"/>
                <c:pt idx="0">
                  <c:v>Smartphone</c:v>
                </c:pt>
                <c:pt idx="1">
                  <c:v>Laptop</c:v>
                </c:pt>
                <c:pt idx="2">
                  <c:v>Tablet</c:v>
                </c:pt>
                <c:pt idx="3">
                  <c:v>Monitor</c:v>
                </c:pt>
                <c:pt idx="4">
                  <c:v>Printer</c:v>
                </c:pt>
              </c:strCache>
            </c:strRef>
          </c:cat>
          <c:val>
            <c:numRef>
              <c:f>Sheet4!$C$46:$C$51</c:f>
              <c:numCache>
                <c:formatCode>General</c:formatCode>
                <c:ptCount val="5"/>
                <c:pt idx="0">
                  <c:v>770000</c:v>
                </c:pt>
                <c:pt idx="1">
                  <c:v>340000</c:v>
                </c:pt>
                <c:pt idx="2">
                  <c:v>300000</c:v>
                </c:pt>
                <c:pt idx="3">
                  <c:v>225000</c:v>
                </c:pt>
                <c:pt idx="4">
                  <c:v>120000</c:v>
                </c:pt>
              </c:numCache>
            </c:numRef>
          </c:val>
          <c:extLst>
            <c:ext xmlns:c16="http://schemas.microsoft.com/office/drawing/2014/chart" uri="{C3380CC4-5D6E-409C-BE32-E72D297353CC}">
              <c16:uniqueId val="{00000000-6FA2-467F-B60F-E2D7897C8F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Week4.xlsx]Sheet4!PivotTable28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Sheet4!$C$61</c:f>
              <c:strCache>
                <c:ptCount val="1"/>
                <c:pt idx="0">
                  <c:v>Total</c:v>
                </c:pt>
              </c:strCache>
            </c:strRef>
          </c:tx>
          <c:spPr>
            <a:solidFill>
              <a:schemeClr val="accent1"/>
            </a:solidFill>
            <a:ln>
              <a:noFill/>
            </a:ln>
            <a:effectLst/>
          </c:spPr>
          <c:invertIfNegative val="0"/>
          <c:cat>
            <c:strRef>
              <c:f>Sheet4!$B$62:$B$69</c:f>
              <c:strCache>
                <c:ptCount val="7"/>
                <c:pt idx="0">
                  <c:v>1001</c:v>
                </c:pt>
                <c:pt idx="1">
                  <c:v>1009</c:v>
                </c:pt>
                <c:pt idx="2">
                  <c:v>1018</c:v>
                </c:pt>
                <c:pt idx="3">
                  <c:v>1025</c:v>
                </c:pt>
                <c:pt idx="4">
                  <c:v>1031</c:v>
                </c:pt>
                <c:pt idx="5">
                  <c:v>1040</c:v>
                </c:pt>
                <c:pt idx="6">
                  <c:v>1045</c:v>
                </c:pt>
              </c:strCache>
            </c:strRef>
          </c:cat>
          <c:val>
            <c:numRef>
              <c:f>Sheet4!$C$62:$C$69</c:f>
              <c:numCache>
                <c:formatCode>General</c:formatCode>
                <c:ptCount val="7"/>
                <c:pt idx="0">
                  <c:v>40000</c:v>
                </c:pt>
                <c:pt idx="1">
                  <c:v>60000</c:v>
                </c:pt>
                <c:pt idx="2">
                  <c:v>40000</c:v>
                </c:pt>
                <c:pt idx="3">
                  <c:v>20000</c:v>
                </c:pt>
                <c:pt idx="4">
                  <c:v>60000</c:v>
                </c:pt>
                <c:pt idx="5">
                  <c:v>40000</c:v>
                </c:pt>
                <c:pt idx="6">
                  <c:v>80000</c:v>
                </c:pt>
              </c:numCache>
            </c:numRef>
          </c:val>
          <c:extLst>
            <c:ext xmlns:c16="http://schemas.microsoft.com/office/drawing/2014/chart" uri="{C3380CC4-5D6E-409C-BE32-E72D297353CC}">
              <c16:uniqueId val="{00000000-0DB6-4293-9708-CB76BD23EC69}"/>
            </c:ext>
          </c:extLst>
        </c:ser>
        <c:dLbls>
          <c:showLegendKey val="0"/>
          <c:showVal val="0"/>
          <c:showCatName val="0"/>
          <c:showSerName val="0"/>
          <c:showPercent val="0"/>
          <c:showBubbleSize val="0"/>
        </c:dLbls>
        <c:gapWidth val="182"/>
        <c:axId val="1715888287"/>
        <c:axId val="1715891647"/>
      </c:barChart>
      <c:catAx>
        <c:axId val="171588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891647"/>
        <c:crosses val="autoZero"/>
        <c:auto val="1"/>
        <c:lblAlgn val="ctr"/>
        <c:lblOffset val="100"/>
        <c:noMultiLvlLbl val="0"/>
      </c:catAx>
      <c:valAx>
        <c:axId val="171589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88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358140</xdr:colOff>
      <xdr:row>1</xdr:row>
      <xdr:rowOff>148590</xdr:rowOff>
    </xdr:from>
    <xdr:to>
      <xdr:col>12</xdr:col>
      <xdr:colOff>53340</xdr:colOff>
      <xdr:row>16</xdr:row>
      <xdr:rowOff>148590</xdr:rowOff>
    </xdr:to>
    <xdr:graphicFrame macro="">
      <xdr:nvGraphicFramePr>
        <xdr:cNvPr id="2" name="Chart 1">
          <a:extLst>
            <a:ext uri="{FF2B5EF4-FFF2-40B4-BE49-F238E27FC236}">
              <a16:creationId xmlns:a16="http://schemas.microsoft.com/office/drawing/2014/main" id="{02F180D8-6F66-0149-F35F-97859EB93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220980</xdr:colOff>
      <xdr:row>40</xdr:row>
      <xdr:rowOff>64770</xdr:rowOff>
    </xdr:from>
    <xdr:to>
      <xdr:col>11</xdr:col>
      <xdr:colOff>525780</xdr:colOff>
      <xdr:row>55</xdr:row>
      <xdr:rowOff>64770</xdr:rowOff>
    </xdr:to>
    <xdr:graphicFrame macro="">
      <xdr:nvGraphicFramePr>
        <xdr:cNvPr id="4" name="Chart 3">
          <a:extLst>
            <a:ext uri="{FF2B5EF4-FFF2-40B4-BE49-F238E27FC236}">
              <a16:creationId xmlns:a16="http://schemas.microsoft.com/office/drawing/2014/main" id="{EC01093B-06FE-7552-2CB0-D1C386020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23</xdr:row>
      <xdr:rowOff>3810</xdr:rowOff>
    </xdr:from>
    <xdr:to>
      <xdr:col>10</xdr:col>
      <xdr:colOff>495300</xdr:colOff>
      <xdr:row>38</xdr:row>
      <xdr:rowOff>3810</xdr:rowOff>
    </xdr:to>
    <xdr:graphicFrame macro="">
      <xdr:nvGraphicFramePr>
        <xdr:cNvPr id="6" name="Chart 5">
          <a:extLst>
            <a:ext uri="{FF2B5EF4-FFF2-40B4-BE49-F238E27FC236}">
              <a16:creationId xmlns:a16="http://schemas.microsoft.com/office/drawing/2014/main" id="{08896572-BD53-833F-C3B5-7AFABA695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61</xdr:row>
      <xdr:rowOff>3810</xdr:rowOff>
    </xdr:from>
    <xdr:to>
      <xdr:col>11</xdr:col>
      <xdr:colOff>106680</xdr:colOff>
      <xdr:row>76</xdr:row>
      <xdr:rowOff>3810</xdr:rowOff>
    </xdr:to>
    <xdr:graphicFrame macro="">
      <xdr:nvGraphicFramePr>
        <xdr:cNvPr id="7" name="Chart 6">
          <a:extLst>
            <a:ext uri="{FF2B5EF4-FFF2-40B4-BE49-F238E27FC236}">
              <a16:creationId xmlns:a16="http://schemas.microsoft.com/office/drawing/2014/main" id="{4D7E2FFF-7D22-7AF1-F50D-87C4EAE51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45720</xdr:colOff>
      <xdr:row>100</xdr:row>
      <xdr:rowOff>68580</xdr:rowOff>
    </xdr:from>
    <xdr:to>
      <xdr:col>15</xdr:col>
      <xdr:colOff>381000</xdr:colOff>
      <xdr:row>108</xdr:row>
      <xdr:rowOff>160020</xdr:rowOff>
    </xdr:to>
    <xdr:sp macro="" textlink="">
      <xdr:nvSpPr>
        <xdr:cNvPr id="8" name="TextBox 7">
          <a:extLst>
            <a:ext uri="{FF2B5EF4-FFF2-40B4-BE49-F238E27FC236}">
              <a16:creationId xmlns:a16="http://schemas.microsoft.com/office/drawing/2014/main" id="{11837CF6-4785-D39D-532A-8A83536D58DC}"/>
            </a:ext>
          </a:extLst>
        </xdr:cNvPr>
        <xdr:cNvSpPr txBox="1"/>
      </xdr:nvSpPr>
      <xdr:spPr>
        <a:xfrm rot="20140370">
          <a:off x="5013960" y="18356580"/>
          <a:ext cx="5806440" cy="1554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rtlCol="0" anchor="t"/>
        <a:lstStyle/>
        <a:p>
          <a:endParaRPr lang="en-IN" sz="1200"/>
        </a:p>
      </xdr:txBody>
    </xdr:sp>
    <xdr:clientData/>
  </xdr:twoCellAnchor>
  <xdr:twoCellAnchor editAs="oneCell">
    <xdr:from>
      <xdr:col>12</xdr:col>
      <xdr:colOff>365760</xdr:colOff>
      <xdr:row>0</xdr:row>
      <xdr:rowOff>167640</xdr:rowOff>
    </xdr:from>
    <xdr:to>
      <xdr:col>15</xdr:col>
      <xdr:colOff>365760</xdr:colOff>
      <xdr:row>15</xdr:row>
      <xdr:rowOff>5715</xdr:rowOff>
    </xdr:to>
    <mc:AlternateContent xmlns:mc="http://schemas.openxmlformats.org/markup-compatibility/2006">
      <mc:Choice xmlns:a14="http://schemas.microsoft.com/office/drawing/2010/main" Requires="a14">
        <xdr:graphicFrame macro="">
          <xdr:nvGraphicFramePr>
            <xdr:cNvPr id="3" name="ProductName">
              <a:extLst>
                <a:ext uri="{FF2B5EF4-FFF2-40B4-BE49-F238E27FC236}">
                  <a16:creationId xmlns:a16="http://schemas.microsoft.com/office/drawing/2014/main" id="{DE017C4B-2D5A-34B8-EC1C-E511D2FF1149}"/>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8648700" y="16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1</xdr:row>
      <xdr:rowOff>7620</xdr:rowOff>
    </xdr:from>
    <xdr:to>
      <xdr:col>15</xdr:col>
      <xdr:colOff>381000</xdr:colOff>
      <xdr:row>15</xdr:row>
      <xdr:rowOff>28575</xdr:rowOff>
    </xdr:to>
    <mc:AlternateContent xmlns:mc="http://schemas.openxmlformats.org/markup-compatibility/2006">
      <mc:Choice xmlns:a14="http://schemas.microsoft.com/office/drawing/2010/main" Requires="a14">
        <xdr:graphicFrame macro="">
          <xdr:nvGraphicFramePr>
            <xdr:cNvPr id="5" name="ProductName 1">
              <a:extLst>
                <a:ext uri="{FF2B5EF4-FFF2-40B4-BE49-F238E27FC236}">
                  <a16:creationId xmlns:a16="http://schemas.microsoft.com/office/drawing/2014/main" id="{F551AF30-E305-FA34-EDDD-7EB3F8208006}"/>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866394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xdr:colOff>
      <xdr:row>39</xdr:row>
      <xdr:rowOff>160020</xdr:rowOff>
    </xdr:from>
    <xdr:to>
      <xdr:col>16</xdr:col>
      <xdr:colOff>30480</xdr:colOff>
      <xdr:row>53</xdr:row>
      <xdr:rowOff>180975</xdr:rowOff>
    </xdr:to>
    <mc:AlternateContent xmlns:mc="http://schemas.openxmlformats.org/markup-compatibility/2006">
      <mc:Choice xmlns:a14="http://schemas.microsoft.com/office/drawing/2010/main" Requires="a14">
        <xdr:graphicFrame macro="">
          <xdr:nvGraphicFramePr>
            <xdr:cNvPr id="10" name="RegionID">
              <a:extLst>
                <a:ext uri="{FF2B5EF4-FFF2-40B4-BE49-F238E27FC236}">
                  <a16:creationId xmlns:a16="http://schemas.microsoft.com/office/drawing/2014/main" id="{B1E3D6BB-A4BA-FB0D-91A5-1D9D7A202AD2}"/>
                </a:ext>
              </a:extLst>
            </xdr:cNvPr>
            <xdr:cNvGraphicFramePr/>
          </xdr:nvGraphicFramePr>
          <xdr:xfrm>
            <a:off x="0" y="0"/>
            <a:ext cx="0" cy="0"/>
          </xdr:xfrm>
          <a:graphic>
            <a:graphicData uri="http://schemas.microsoft.com/office/drawing/2010/slicer">
              <sle:slicer xmlns:sle="http://schemas.microsoft.com/office/drawing/2010/slicer" name="RegionID"/>
            </a:graphicData>
          </a:graphic>
        </xdr:graphicFrame>
      </mc:Choice>
      <mc:Fallback>
        <xdr:sp macro="" textlink="">
          <xdr:nvSpPr>
            <xdr:cNvPr id="0" name=""/>
            <xdr:cNvSpPr>
              <a:spLocks noTextEdit="1"/>
            </xdr:cNvSpPr>
          </xdr:nvSpPr>
          <xdr:spPr>
            <a:xfrm>
              <a:off x="8923020" y="7292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60</xdr:row>
      <xdr:rowOff>30480</xdr:rowOff>
    </xdr:from>
    <xdr:to>
      <xdr:col>13</xdr:col>
      <xdr:colOff>91440</xdr:colOff>
      <xdr:row>74</xdr:row>
      <xdr:rowOff>51435</xdr:rowOff>
    </xdr:to>
    <mc:AlternateContent xmlns:mc="http://schemas.openxmlformats.org/markup-compatibility/2006">
      <mc:Choice xmlns:a14="http://schemas.microsoft.com/office/drawing/2010/main" Requires="a14">
        <xdr:graphicFrame macro="">
          <xdr:nvGraphicFramePr>
            <xdr:cNvPr id="11" name="ProductID">
              <a:extLst>
                <a:ext uri="{FF2B5EF4-FFF2-40B4-BE49-F238E27FC236}">
                  <a16:creationId xmlns:a16="http://schemas.microsoft.com/office/drawing/2014/main" id="{96E01969-9C2D-0B80-1E3F-D823E1BF1E47}"/>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dr:sp macro="" textlink="">
          <xdr:nvSpPr>
            <xdr:cNvPr id="0" name=""/>
            <xdr:cNvSpPr>
              <a:spLocks noTextEdit="1"/>
            </xdr:cNvSpPr>
          </xdr:nvSpPr>
          <xdr:spPr>
            <a:xfrm>
              <a:off x="7155180" y="11003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180158</xdr:colOff>
      <xdr:row>11</xdr:row>
      <xdr:rowOff>163203</xdr:rowOff>
    </xdr:from>
    <xdr:to>
      <xdr:col>11</xdr:col>
      <xdr:colOff>436433</xdr:colOff>
      <xdr:row>27</xdr:row>
      <xdr:rowOff>41146</xdr:rowOff>
    </xdr:to>
    <xdr:graphicFrame macro="">
      <xdr:nvGraphicFramePr>
        <xdr:cNvPr id="2" name="Chart 1">
          <a:extLst>
            <a:ext uri="{FF2B5EF4-FFF2-40B4-BE49-F238E27FC236}">
              <a16:creationId xmlns:a16="http://schemas.microsoft.com/office/drawing/2014/main" id="{250F5EE5-F1C6-47ED-A9EF-98E9A2725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386458</xdr:colOff>
      <xdr:row>11</xdr:row>
      <xdr:rowOff>149124</xdr:rowOff>
    </xdr:from>
    <xdr:to>
      <xdr:col>3</xdr:col>
      <xdr:colOff>377493</xdr:colOff>
      <xdr:row>26</xdr:row>
      <xdr:rowOff>40988</xdr:rowOff>
    </xdr:to>
    <mc:AlternateContent xmlns:mc="http://schemas.openxmlformats.org/markup-compatibility/2006">
      <mc:Choice xmlns:a14="http://schemas.microsoft.com/office/drawing/2010/main" Requires="a14">
        <xdr:graphicFrame macro="">
          <xdr:nvGraphicFramePr>
            <xdr:cNvPr id="4" name="ProductName 2">
              <a:extLst>
                <a:ext uri="{FF2B5EF4-FFF2-40B4-BE49-F238E27FC236}">
                  <a16:creationId xmlns:a16="http://schemas.microsoft.com/office/drawing/2014/main" id="{F85C10ED-D124-4253-931D-8E894287C6EE}"/>
                </a:ext>
              </a:extLst>
            </xdr:cNvPr>
            <xdr:cNvGraphicFramePr/>
          </xdr:nvGraphicFramePr>
          <xdr:xfrm>
            <a:off x="0" y="0"/>
            <a:ext cx="0" cy="0"/>
          </xdr:xfrm>
          <a:graphic>
            <a:graphicData uri="http://schemas.microsoft.com/office/drawing/2010/slicer">
              <sle:slicer xmlns:sle="http://schemas.microsoft.com/office/drawing/2010/slicer" name="ProductName 2"/>
            </a:graphicData>
          </a:graphic>
        </xdr:graphicFrame>
      </mc:Choice>
      <mc:Fallback>
        <xdr:sp macro="" textlink="">
          <xdr:nvSpPr>
            <xdr:cNvPr id="0" name=""/>
            <xdr:cNvSpPr>
              <a:spLocks noTextEdit="1"/>
            </xdr:cNvSpPr>
          </xdr:nvSpPr>
          <xdr:spPr>
            <a:xfrm>
              <a:off x="386458" y="2083432"/>
              <a:ext cx="1837420" cy="2529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545065</xdr:colOff>
      <xdr:row>11</xdr:row>
      <xdr:rowOff>149123</xdr:rowOff>
    </xdr:from>
    <xdr:to>
      <xdr:col>20</xdr:col>
      <xdr:colOff>460199</xdr:colOff>
      <xdr:row>27</xdr:row>
      <xdr:rowOff>23618</xdr:rowOff>
    </xdr:to>
    <xdr:graphicFrame macro="">
      <xdr:nvGraphicFramePr>
        <xdr:cNvPr id="5" name="Chart 4">
          <a:extLst>
            <a:ext uri="{FF2B5EF4-FFF2-40B4-BE49-F238E27FC236}">
              <a16:creationId xmlns:a16="http://schemas.microsoft.com/office/drawing/2014/main" id="{75796533-9AEF-4504-A190-AD5F4A760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29</xdr:row>
      <xdr:rowOff>0</xdr:rowOff>
    </xdr:from>
    <xdr:to>
      <xdr:col>11</xdr:col>
      <xdr:colOff>253402</xdr:colOff>
      <xdr:row>44</xdr:row>
      <xdr:rowOff>53788</xdr:rowOff>
    </xdr:to>
    <xdr:graphicFrame macro="">
      <xdr:nvGraphicFramePr>
        <xdr:cNvPr id="6" name="Chart 5">
          <a:extLst>
            <a:ext uri="{FF2B5EF4-FFF2-40B4-BE49-F238E27FC236}">
              <a16:creationId xmlns:a16="http://schemas.microsoft.com/office/drawing/2014/main" id="{35B7BAD0-D57F-4DB0-9228-1935DF248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298823</xdr:colOff>
      <xdr:row>28</xdr:row>
      <xdr:rowOff>171824</xdr:rowOff>
    </xdr:from>
    <xdr:to>
      <xdr:col>3</xdr:col>
      <xdr:colOff>289858</xdr:colOff>
      <xdr:row>43</xdr:row>
      <xdr:rowOff>63687</xdr:rowOff>
    </xdr:to>
    <mc:AlternateContent xmlns:mc="http://schemas.openxmlformats.org/markup-compatibility/2006">
      <mc:Choice xmlns:a14="http://schemas.microsoft.com/office/drawing/2010/main" Requires="a14">
        <xdr:graphicFrame macro="">
          <xdr:nvGraphicFramePr>
            <xdr:cNvPr id="7" name="RegionID 1">
              <a:extLst>
                <a:ext uri="{FF2B5EF4-FFF2-40B4-BE49-F238E27FC236}">
                  <a16:creationId xmlns:a16="http://schemas.microsoft.com/office/drawing/2014/main" id="{A7D8EDCF-8A5C-4429-B4D5-497382A1765F}"/>
                </a:ext>
              </a:extLst>
            </xdr:cNvPr>
            <xdr:cNvGraphicFramePr/>
          </xdr:nvGraphicFramePr>
          <xdr:xfrm>
            <a:off x="0" y="0"/>
            <a:ext cx="0" cy="0"/>
          </xdr:xfrm>
          <a:graphic>
            <a:graphicData uri="http://schemas.microsoft.com/office/drawing/2010/slicer">
              <sle:slicer xmlns:sle="http://schemas.microsoft.com/office/drawing/2010/slicer" name="RegionID 1"/>
            </a:graphicData>
          </a:graphic>
        </xdr:graphicFrame>
      </mc:Choice>
      <mc:Fallback>
        <xdr:sp macro="" textlink="">
          <xdr:nvSpPr>
            <xdr:cNvPr id="0" name=""/>
            <xdr:cNvSpPr>
              <a:spLocks noTextEdit="1"/>
            </xdr:cNvSpPr>
          </xdr:nvSpPr>
          <xdr:spPr>
            <a:xfrm>
              <a:off x="298823" y="5095516"/>
              <a:ext cx="1837420" cy="2529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552824</xdr:colOff>
      <xdr:row>45</xdr:row>
      <xdr:rowOff>126999</xdr:rowOff>
    </xdr:from>
    <xdr:to>
      <xdr:col>11</xdr:col>
      <xdr:colOff>467958</xdr:colOff>
      <xdr:row>61</xdr:row>
      <xdr:rowOff>1493</xdr:rowOff>
    </xdr:to>
    <xdr:graphicFrame macro="">
      <xdr:nvGraphicFramePr>
        <xdr:cNvPr id="8" name="Chart 7">
          <a:extLst>
            <a:ext uri="{FF2B5EF4-FFF2-40B4-BE49-F238E27FC236}">
              <a16:creationId xmlns:a16="http://schemas.microsoft.com/office/drawing/2014/main" id="{5D26C5D2-9DC3-43AF-A32D-AA34113EA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321235</xdr:colOff>
      <xdr:row>45</xdr:row>
      <xdr:rowOff>164353</xdr:rowOff>
    </xdr:from>
    <xdr:to>
      <xdr:col>3</xdr:col>
      <xdr:colOff>312270</xdr:colOff>
      <xdr:row>60</xdr:row>
      <xdr:rowOff>56216</xdr:rowOff>
    </xdr:to>
    <mc:AlternateContent xmlns:mc="http://schemas.openxmlformats.org/markup-compatibility/2006">
      <mc:Choice xmlns:a14="http://schemas.microsoft.com/office/drawing/2010/main" Requires="a14">
        <xdr:graphicFrame macro="">
          <xdr:nvGraphicFramePr>
            <xdr:cNvPr id="9" name="ProductID 1">
              <a:extLst>
                <a:ext uri="{FF2B5EF4-FFF2-40B4-BE49-F238E27FC236}">
                  <a16:creationId xmlns:a16="http://schemas.microsoft.com/office/drawing/2014/main" id="{119319D1-5856-4EBC-9405-9B90CC28849C}"/>
                </a:ext>
              </a:extLst>
            </xdr:cNvPr>
            <xdr:cNvGraphicFramePr/>
          </xdr:nvGraphicFramePr>
          <xdr:xfrm>
            <a:off x="0" y="0"/>
            <a:ext cx="0" cy="0"/>
          </xdr:xfrm>
          <a:graphic>
            <a:graphicData uri="http://schemas.microsoft.com/office/drawing/2010/slicer">
              <sle:slicer xmlns:sle="http://schemas.microsoft.com/office/drawing/2010/slicer" name="ProductID 1"/>
            </a:graphicData>
          </a:graphic>
        </xdr:graphicFrame>
      </mc:Choice>
      <mc:Fallback>
        <xdr:sp macro="" textlink="">
          <xdr:nvSpPr>
            <xdr:cNvPr id="0" name=""/>
            <xdr:cNvSpPr>
              <a:spLocks noTextEdit="1"/>
            </xdr:cNvSpPr>
          </xdr:nvSpPr>
          <xdr:spPr>
            <a:xfrm>
              <a:off x="321235" y="8077430"/>
              <a:ext cx="1837420" cy="2529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NEER" refreshedDate="46062.489466666666" createdVersion="8" refreshedVersion="8" minRefreshableVersion="3" recordCount="45" xr:uid="{109BB21E-8249-49F3-838F-2772DFAC2500}">
  <cacheSource type="worksheet">
    <worksheetSource ref="A1:H46" sheet="Data"/>
  </cacheSource>
  <cacheFields count="10">
    <cacheField name="OrderID" numFmtId="0">
      <sharedItems containsSemiMixedTypes="0" containsString="0" containsNumber="1" containsInteger="1" minValue="1001" maxValue="1045"/>
    </cacheField>
    <cacheField name="OrderDate" numFmtId="14">
      <sharedItems containsSemiMixedTypes="0" containsNonDate="0" containsDate="1" containsString="0" minDate="2025-01-02T00:00:00" maxDate="2025-12-29T00:00:00" count="45">
        <d v="2025-01-02T00:00:00"/>
        <d v="2025-01-05T00:00:00"/>
        <d v="2025-01-15T00:00:00"/>
        <d v="2025-01-28T00:00:00"/>
        <d v="2025-02-03T00:00:00"/>
        <d v="2025-02-10T00:00:00"/>
        <d v="2025-02-18T00:00:00"/>
        <d v="2025-02-27T00:00:00"/>
        <d v="2025-03-04T00:00:00"/>
        <d v="2025-03-12T00:00:00"/>
        <d v="2025-03-20T00:00:00"/>
        <d v="2025-03-30T00:00:00"/>
        <d v="2025-04-05T00:00:00"/>
        <d v="2025-04-10T00:00:00"/>
        <d v="2025-04-22T00:00:00"/>
        <d v="2025-05-02T00:00:00"/>
        <d v="2025-05-11T00:00:00"/>
        <d v="2025-05-19T00:00:00"/>
        <d v="2025-05-28T00:00:00"/>
        <d v="2025-06-03T00:00:00"/>
        <d v="2025-06-10T00:00:00"/>
        <d v="2025-06-17T00:00:00"/>
        <d v="2025-06-29T00:00:00"/>
        <d v="2025-07-04T00:00:00"/>
        <d v="2025-07-13T00:00:00"/>
        <d v="2025-07-21T00:00:00"/>
        <d v="2025-07-30T00:00:00"/>
        <d v="2025-08-05T00:00:00"/>
        <d v="2025-08-12T00:00:00"/>
        <d v="2025-08-23T00:00:00"/>
        <d v="2025-09-02T00:00:00"/>
        <d v="2025-09-10T00:00:00"/>
        <d v="2025-09-19T00:00:00"/>
        <d v="2025-09-28T00:00:00"/>
        <d v="2025-10-03T00:00:00"/>
        <d v="2025-10-11T00:00:00"/>
        <d v="2025-10-20T00:00:00"/>
        <d v="2025-10-29T00:00:00"/>
        <d v="2025-11-04T00:00:00"/>
        <d v="2025-11-15T00:00:00"/>
        <d v="2025-11-25T00:00:00"/>
        <d v="2025-12-02T00:00:00"/>
        <d v="2025-12-10T00:00:00"/>
        <d v="2025-12-18T00:00:00"/>
        <d v="2025-12-28T00:00:00"/>
      </sharedItems>
      <fieldGroup par="9"/>
    </cacheField>
    <cacheField name="ProductID" numFmtId="0">
      <sharedItems/>
    </cacheField>
    <cacheField name="ProductName" numFmtId="0">
      <sharedItems count="10">
        <s v="Laptop"/>
        <s v="Smartphone"/>
        <s v="Mouse"/>
        <s v="Monitor"/>
        <s v="Headphones"/>
        <s v="Tablet"/>
        <s v="Webcam"/>
        <s v="Printer"/>
        <s v="Smartwatch"/>
        <s v="Keyboard"/>
      </sharedItems>
    </cacheField>
    <cacheField name="Category" numFmtId="0">
      <sharedItems count="2">
        <s v="Electronics"/>
        <s v="Accessories"/>
      </sharedItems>
    </cacheField>
    <cacheField name="RegionID" numFmtId="0">
      <sharedItems count="5">
        <s v="North"/>
        <s v="South"/>
        <s v="Central"/>
        <s v="West"/>
        <s v="East"/>
      </sharedItems>
    </cacheField>
    <cacheField name="Quantity" numFmtId="0">
      <sharedItems containsSemiMixedTypes="0" containsString="0" containsNumber="1" containsInteger="1" minValue="1" maxValue="10"/>
    </cacheField>
    <cacheField name="SalesAmount" numFmtId="0">
      <sharedItems containsSemiMixedTypes="0" containsString="0" containsNumber="1" containsInteger="1" minValue="12000" maxValue="165000" count="19">
        <n v="40000"/>
        <n v="55000"/>
        <n v="12500"/>
        <n v="50000"/>
        <n v="18000"/>
        <n v="60000"/>
        <n v="12000"/>
        <n v="110000"/>
        <n v="20000"/>
        <n v="30000"/>
        <n v="15000"/>
        <n v="165000"/>
        <n v="25000"/>
        <n v="24000"/>
        <n v="90000"/>
        <n v="17500"/>
        <n v="45000"/>
        <n v="75000"/>
        <n v="80000"/>
      </sharedItems>
    </cacheField>
    <cacheField name="Days (OrderDate)" numFmtId="0" databaseField="0">
      <fieldGroup base="1">
        <rangePr groupBy="days" startDate="2025-01-02T00:00:00" endDate="2025-12-29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5"/>
        </groupItems>
      </fieldGroup>
    </cacheField>
    <cacheField name="Months (OrderDate)" numFmtId="0" databaseField="0">
      <fieldGroup base="1">
        <rangePr groupBy="months" startDate="2025-01-02T00:00:00" endDate="2025-12-29T00:00:00"/>
        <groupItems count="14">
          <s v="&lt;02-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6785023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NEER" refreshedDate="46062.669922337962" createdVersion="8" refreshedVersion="8" minRefreshableVersion="3" recordCount="48" xr:uid="{AE62EAFF-3B71-48B4-8A37-96FA9F3EA618}">
  <cacheSource type="worksheet">
    <worksheetSource ref="A1:H49" sheet="Data"/>
  </cacheSource>
  <cacheFields count="8">
    <cacheField name="OrderID" numFmtId="0">
      <sharedItems containsSemiMixedTypes="0" containsString="0" containsNumber="1" minValue="47" maxValue="46035" count="48">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46035"/>
        <n v="2001.5217391304348"/>
        <n v="47"/>
      </sharedItems>
    </cacheField>
    <cacheField name="OrderDate" numFmtId="0">
      <sharedItems containsSemiMixedTypes="0" containsDate="1" containsString="0" containsMixedTypes="1" minDate="2025-01-02T00:00:00" maxDate="1900-01-05T02:04:05"/>
    </cacheField>
    <cacheField name="ProductID" numFmtId="0">
      <sharedItems containsMixedTypes="1" containsNumber="1" containsInteger="1" minValue="0" maxValue="47" count="12">
        <s v="P101"/>
        <s v="P102"/>
        <s v="P105"/>
        <s v="P107"/>
        <s v="P103"/>
        <s v="P104"/>
        <s v="P110"/>
        <s v="P108"/>
        <s v="P109"/>
        <s v="P106"/>
        <n v="0"/>
        <n v="47"/>
      </sharedItems>
    </cacheField>
    <cacheField name="ProductName" numFmtId="0">
      <sharedItems containsMixedTypes="1" containsNumber="1" containsInteger="1" minValue="0" maxValue="47"/>
    </cacheField>
    <cacheField name="Category" numFmtId="0">
      <sharedItems containsMixedTypes="1" containsNumber="1" containsInteger="1" minValue="0" maxValue="47"/>
    </cacheField>
    <cacheField name="RegionID" numFmtId="0">
      <sharedItems containsMixedTypes="1" containsNumber="1" containsInteger="1" minValue="0" maxValue="47"/>
    </cacheField>
    <cacheField name="Quantity" numFmtId="0">
      <sharedItems containsSemiMixedTypes="0" containsString="0" containsNumber="1" minValue="1" maxValue="141"/>
    </cacheField>
    <cacheField name="SalesAmount" numFmtId="0">
      <sharedItems containsSemiMixedTypes="0" containsString="0" containsNumber="1" minValue="47" maxValue="2103000"/>
    </cacheField>
  </cacheFields>
  <extLst>
    <ext xmlns:x14="http://schemas.microsoft.com/office/spreadsheetml/2009/9/main" uri="{725AE2AE-9491-48be-B2B4-4EB974FC3084}">
      <x14:pivotCacheDefinition pivotCacheId="6323709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NEER" refreshedDate="46062.676477430556" createdVersion="8" refreshedVersion="8" minRefreshableVersion="3" recordCount="1" xr:uid="{A729464D-57E1-4355-AEAA-F88C0811D8BF}">
  <cacheSource type="worksheet">
    <worksheetSource ref="K1:M2" sheet="Data"/>
  </cacheSource>
  <cacheFields count="3">
    <cacheField name="Total revenue of the year" numFmtId="0">
      <sharedItems containsSemiMixedTypes="0" containsString="0" containsNumber="1" containsInteger="1" minValue="2103000" maxValue="2103000" count="1">
        <n v="2103000"/>
      </sharedItems>
    </cacheField>
    <cacheField name="Best Selling Product" numFmtId="0">
      <sharedItems count="1">
        <s v="Laptop"/>
      </sharedItems>
    </cacheField>
    <cacheField name="Top region" numFmtId="0">
      <sharedItems count="1">
        <s v="Nort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1001"/>
    <x v="0"/>
    <s v="P101"/>
    <x v="0"/>
    <x v="0"/>
    <x v="0"/>
    <n v="2"/>
    <x v="0"/>
  </r>
  <r>
    <n v="1002"/>
    <x v="1"/>
    <s v="P102"/>
    <x v="1"/>
    <x v="0"/>
    <x v="1"/>
    <n v="1"/>
    <x v="1"/>
  </r>
  <r>
    <n v="1003"/>
    <x v="2"/>
    <s v="P105"/>
    <x v="2"/>
    <x v="1"/>
    <x v="2"/>
    <n v="5"/>
    <x v="2"/>
  </r>
  <r>
    <n v="1004"/>
    <x v="3"/>
    <s v="P107"/>
    <x v="3"/>
    <x v="0"/>
    <x v="3"/>
    <n v="2"/>
    <x v="3"/>
  </r>
  <r>
    <n v="1005"/>
    <x v="4"/>
    <s v="P103"/>
    <x v="4"/>
    <x v="1"/>
    <x v="4"/>
    <n v="3"/>
    <x v="4"/>
  </r>
  <r>
    <n v="1006"/>
    <x v="5"/>
    <s v="P104"/>
    <x v="5"/>
    <x v="0"/>
    <x v="0"/>
    <n v="2"/>
    <x v="5"/>
  </r>
  <r>
    <n v="1007"/>
    <x v="6"/>
    <s v="P110"/>
    <x v="6"/>
    <x v="1"/>
    <x v="2"/>
    <n v="4"/>
    <x v="6"/>
  </r>
  <r>
    <n v="1008"/>
    <x v="7"/>
    <s v="P102"/>
    <x v="1"/>
    <x v="0"/>
    <x v="1"/>
    <n v="2"/>
    <x v="7"/>
  </r>
  <r>
    <n v="1009"/>
    <x v="8"/>
    <s v="P101"/>
    <x v="0"/>
    <x v="0"/>
    <x v="0"/>
    <n v="3"/>
    <x v="5"/>
  </r>
  <r>
    <n v="1010"/>
    <x v="9"/>
    <s v="P108"/>
    <x v="7"/>
    <x v="0"/>
    <x v="4"/>
    <n v="1"/>
    <x v="8"/>
  </r>
  <r>
    <n v="1011"/>
    <x v="10"/>
    <s v="P109"/>
    <x v="8"/>
    <x v="0"/>
    <x v="3"/>
    <n v="2"/>
    <x v="9"/>
  </r>
  <r>
    <n v="1012"/>
    <x v="11"/>
    <s v="P106"/>
    <x v="9"/>
    <x v="1"/>
    <x v="2"/>
    <n v="5"/>
    <x v="10"/>
  </r>
  <r>
    <n v="1013"/>
    <x v="12"/>
    <s v="P102"/>
    <x v="1"/>
    <x v="0"/>
    <x v="1"/>
    <n v="3"/>
    <x v="11"/>
  </r>
  <r>
    <n v="1014"/>
    <x v="13"/>
    <s v="P104"/>
    <x v="5"/>
    <x v="0"/>
    <x v="3"/>
    <n v="2"/>
    <x v="5"/>
  </r>
  <r>
    <n v="1015"/>
    <x v="14"/>
    <s v="P105"/>
    <x v="2"/>
    <x v="1"/>
    <x v="2"/>
    <n v="6"/>
    <x v="10"/>
  </r>
  <r>
    <n v="1016"/>
    <x v="15"/>
    <s v="P107"/>
    <x v="3"/>
    <x v="0"/>
    <x v="4"/>
    <n v="1"/>
    <x v="12"/>
  </r>
  <r>
    <n v="1017"/>
    <x v="16"/>
    <s v="P110"/>
    <x v="6"/>
    <x v="1"/>
    <x v="1"/>
    <n v="5"/>
    <x v="10"/>
  </r>
  <r>
    <n v="1018"/>
    <x v="17"/>
    <s v="P101"/>
    <x v="0"/>
    <x v="0"/>
    <x v="0"/>
    <n v="2"/>
    <x v="0"/>
  </r>
  <r>
    <n v="1019"/>
    <x v="18"/>
    <s v="P108"/>
    <x v="7"/>
    <x v="0"/>
    <x v="3"/>
    <n v="3"/>
    <x v="5"/>
  </r>
  <r>
    <n v="1020"/>
    <x v="19"/>
    <s v="P102"/>
    <x v="1"/>
    <x v="0"/>
    <x v="2"/>
    <n v="1"/>
    <x v="1"/>
  </r>
  <r>
    <n v="1021"/>
    <x v="20"/>
    <s v="P103"/>
    <x v="4"/>
    <x v="1"/>
    <x v="4"/>
    <n v="4"/>
    <x v="13"/>
  </r>
  <r>
    <n v="1022"/>
    <x v="21"/>
    <s v="P104"/>
    <x v="5"/>
    <x v="0"/>
    <x v="0"/>
    <n v="3"/>
    <x v="14"/>
  </r>
  <r>
    <n v="1023"/>
    <x v="22"/>
    <s v="P105"/>
    <x v="2"/>
    <x v="1"/>
    <x v="1"/>
    <n v="8"/>
    <x v="8"/>
  </r>
  <r>
    <n v="1024"/>
    <x v="23"/>
    <s v="P109"/>
    <x v="8"/>
    <x v="0"/>
    <x v="3"/>
    <n v="2"/>
    <x v="9"/>
  </r>
  <r>
    <n v="1025"/>
    <x v="24"/>
    <s v="P101"/>
    <x v="0"/>
    <x v="0"/>
    <x v="0"/>
    <n v="1"/>
    <x v="8"/>
  </r>
  <r>
    <n v="1026"/>
    <x v="25"/>
    <s v="P110"/>
    <x v="6"/>
    <x v="1"/>
    <x v="4"/>
    <n v="6"/>
    <x v="4"/>
  </r>
  <r>
    <n v="1027"/>
    <x v="26"/>
    <s v="P102"/>
    <x v="1"/>
    <x v="0"/>
    <x v="2"/>
    <n v="2"/>
    <x v="7"/>
  </r>
  <r>
    <n v="1028"/>
    <x v="27"/>
    <s v="P107"/>
    <x v="3"/>
    <x v="0"/>
    <x v="1"/>
    <n v="2"/>
    <x v="3"/>
  </r>
  <r>
    <n v="1029"/>
    <x v="28"/>
    <s v="P105"/>
    <x v="2"/>
    <x v="1"/>
    <x v="3"/>
    <n v="7"/>
    <x v="15"/>
  </r>
  <r>
    <n v="1030"/>
    <x v="29"/>
    <s v="P108"/>
    <x v="7"/>
    <x v="0"/>
    <x v="4"/>
    <n v="2"/>
    <x v="0"/>
  </r>
  <r>
    <n v="1031"/>
    <x v="30"/>
    <s v="P101"/>
    <x v="0"/>
    <x v="0"/>
    <x v="0"/>
    <n v="3"/>
    <x v="5"/>
  </r>
  <r>
    <n v="1032"/>
    <x v="31"/>
    <s v="P102"/>
    <x v="1"/>
    <x v="0"/>
    <x v="1"/>
    <n v="1"/>
    <x v="1"/>
  </r>
  <r>
    <n v="1033"/>
    <x v="32"/>
    <s v="P110"/>
    <x v="6"/>
    <x v="1"/>
    <x v="2"/>
    <n v="5"/>
    <x v="10"/>
  </r>
  <r>
    <n v="1034"/>
    <x v="33"/>
    <s v="P103"/>
    <x v="4"/>
    <x v="1"/>
    <x v="4"/>
    <n v="2"/>
    <x v="6"/>
  </r>
  <r>
    <n v="1035"/>
    <x v="34"/>
    <s v="P104"/>
    <x v="5"/>
    <x v="0"/>
    <x v="3"/>
    <n v="2"/>
    <x v="5"/>
  </r>
  <r>
    <n v="1036"/>
    <x v="35"/>
    <s v="P107"/>
    <x v="3"/>
    <x v="0"/>
    <x v="0"/>
    <n v="1"/>
    <x v="12"/>
  </r>
  <r>
    <n v="1037"/>
    <x v="36"/>
    <s v="P109"/>
    <x v="8"/>
    <x v="0"/>
    <x v="1"/>
    <n v="3"/>
    <x v="16"/>
  </r>
  <r>
    <n v="1038"/>
    <x v="37"/>
    <s v="P105"/>
    <x v="2"/>
    <x v="1"/>
    <x v="2"/>
    <n v="10"/>
    <x v="12"/>
  </r>
  <r>
    <n v="1039"/>
    <x v="38"/>
    <s v="P102"/>
    <x v="1"/>
    <x v="0"/>
    <x v="4"/>
    <n v="2"/>
    <x v="7"/>
  </r>
  <r>
    <n v="1040"/>
    <x v="39"/>
    <s v="P101"/>
    <x v="0"/>
    <x v="0"/>
    <x v="3"/>
    <n v="2"/>
    <x v="0"/>
  </r>
  <r>
    <n v="1041"/>
    <x v="40"/>
    <s v="P110"/>
    <x v="6"/>
    <x v="1"/>
    <x v="0"/>
    <n v="8"/>
    <x v="13"/>
  </r>
  <r>
    <n v="1042"/>
    <x v="41"/>
    <s v="P107"/>
    <x v="3"/>
    <x v="0"/>
    <x v="1"/>
    <n v="3"/>
    <x v="17"/>
  </r>
  <r>
    <n v="1043"/>
    <x v="42"/>
    <s v="P104"/>
    <x v="5"/>
    <x v="0"/>
    <x v="4"/>
    <n v="1"/>
    <x v="9"/>
  </r>
  <r>
    <n v="1044"/>
    <x v="43"/>
    <s v="P102"/>
    <x v="1"/>
    <x v="0"/>
    <x v="3"/>
    <n v="2"/>
    <x v="7"/>
  </r>
  <r>
    <n v="1045"/>
    <x v="44"/>
    <s v="P101"/>
    <x v="0"/>
    <x v="0"/>
    <x v="2"/>
    <n v="4"/>
    <x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d v="2025-01-02T00:00:00"/>
    <x v="0"/>
    <s v="Laptop"/>
    <s v="Electronics"/>
    <s v="North"/>
    <n v="2"/>
    <n v="40000"/>
  </r>
  <r>
    <x v="1"/>
    <d v="2025-01-05T00:00:00"/>
    <x v="1"/>
    <s v="Smartphone"/>
    <s v="Electronics"/>
    <s v="South"/>
    <n v="1"/>
    <n v="55000"/>
  </r>
  <r>
    <x v="2"/>
    <d v="2025-01-15T00:00:00"/>
    <x v="2"/>
    <s v="Mouse"/>
    <s v="Accessories"/>
    <s v="Central"/>
    <n v="5"/>
    <n v="12500"/>
  </r>
  <r>
    <x v="3"/>
    <d v="2025-01-28T00:00:00"/>
    <x v="3"/>
    <s v="Monitor"/>
    <s v="Electronics"/>
    <s v="West"/>
    <n v="2"/>
    <n v="50000"/>
  </r>
  <r>
    <x v="4"/>
    <d v="2025-02-03T00:00:00"/>
    <x v="4"/>
    <s v="Headphones"/>
    <s v="Accessories"/>
    <s v="East"/>
    <n v="3"/>
    <n v="18000"/>
  </r>
  <r>
    <x v="5"/>
    <d v="2025-02-10T00:00:00"/>
    <x v="5"/>
    <s v="Tablet"/>
    <s v="Electronics"/>
    <s v="North"/>
    <n v="2"/>
    <n v="60000"/>
  </r>
  <r>
    <x v="6"/>
    <d v="2025-02-18T00:00:00"/>
    <x v="6"/>
    <s v="Webcam"/>
    <s v="Accessories"/>
    <s v="Central"/>
    <n v="4"/>
    <n v="12000"/>
  </r>
  <r>
    <x v="7"/>
    <d v="2025-02-27T00:00:00"/>
    <x v="1"/>
    <s v="Smartphone"/>
    <s v="Electronics"/>
    <s v="South"/>
    <n v="2"/>
    <n v="110000"/>
  </r>
  <r>
    <x v="8"/>
    <d v="2025-03-04T00:00:00"/>
    <x v="0"/>
    <s v="Laptop"/>
    <s v="Electronics"/>
    <s v="North"/>
    <n v="3"/>
    <n v="60000"/>
  </r>
  <r>
    <x v="9"/>
    <d v="2025-03-12T00:00:00"/>
    <x v="7"/>
    <s v="Printer"/>
    <s v="Electronics"/>
    <s v="East"/>
    <n v="1"/>
    <n v="20000"/>
  </r>
  <r>
    <x v="10"/>
    <d v="2025-03-20T00:00:00"/>
    <x v="8"/>
    <s v="Smartwatch"/>
    <s v="Electronics"/>
    <s v="West"/>
    <n v="2"/>
    <n v="30000"/>
  </r>
  <r>
    <x v="11"/>
    <d v="2025-03-30T00:00:00"/>
    <x v="9"/>
    <s v="Keyboard"/>
    <s v="Accessories"/>
    <s v="Central"/>
    <n v="5"/>
    <n v="15000"/>
  </r>
  <r>
    <x v="12"/>
    <d v="2025-04-05T00:00:00"/>
    <x v="1"/>
    <s v="Smartphone"/>
    <s v="Electronics"/>
    <s v="South"/>
    <n v="3"/>
    <n v="165000"/>
  </r>
  <r>
    <x v="13"/>
    <d v="2025-04-10T00:00:00"/>
    <x v="5"/>
    <s v="Tablet"/>
    <s v="Electronics"/>
    <s v="West"/>
    <n v="2"/>
    <n v="60000"/>
  </r>
  <r>
    <x v="14"/>
    <d v="2025-04-22T00:00:00"/>
    <x v="2"/>
    <s v="Mouse"/>
    <s v="Accessories"/>
    <s v="Central"/>
    <n v="6"/>
    <n v="15000"/>
  </r>
  <r>
    <x v="15"/>
    <d v="2025-05-02T00:00:00"/>
    <x v="3"/>
    <s v="Monitor"/>
    <s v="Electronics"/>
    <s v="East"/>
    <n v="1"/>
    <n v="25000"/>
  </r>
  <r>
    <x v="16"/>
    <d v="2025-05-11T00:00:00"/>
    <x v="6"/>
    <s v="Webcam"/>
    <s v="Accessories"/>
    <s v="South"/>
    <n v="5"/>
    <n v="15000"/>
  </r>
  <r>
    <x v="17"/>
    <d v="2025-05-19T00:00:00"/>
    <x v="0"/>
    <s v="Laptop"/>
    <s v="Electronics"/>
    <s v="North"/>
    <n v="2"/>
    <n v="40000"/>
  </r>
  <r>
    <x v="18"/>
    <d v="2025-05-28T00:00:00"/>
    <x v="7"/>
    <s v="Printer"/>
    <s v="Electronics"/>
    <s v="West"/>
    <n v="3"/>
    <n v="60000"/>
  </r>
  <r>
    <x v="19"/>
    <d v="2025-06-03T00:00:00"/>
    <x v="1"/>
    <s v="Smartphone"/>
    <s v="Electronics"/>
    <s v="Central"/>
    <n v="1"/>
    <n v="55000"/>
  </r>
  <r>
    <x v="20"/>
    <d v="2025-06-10T00:00:00"/>
    <x v="4"/>
    <s v="Headphones"/>
    <s v="Accessories"/>
    <s v="East"/>
    <n v="4"/>
    <n v="24000"/>
  </r>
  <r>
    <x v="21"/>
    <d v="2025-06-17T00:00:00"/>
    <x v="5"/>
    <s v="Tablet"/>
    <s v="Electronics"/>
    <s v="North"/>
    <n v="3"/>
    <n v="90000"/>
  </r>
  <r>
    <x v="22"/>
    <d v="2025-06-29T00:00:00"/>
    <x v="2"/>
    <s v="Mouse"/>
    <s v="Accessories"/>
    <s v="South"/>
    <n v="8"/>
    <n v="20000"/>
  </r>
  <r>
    <x v="23"/>
    <d v="2025-07-04T00:00:00"/>
    <x v="8"/>
    <s v="Smartwatch"/>
    <s v="Electronics"/>
    <s v="West"/>
    <n v="2"/>
    <n v="30000"/>
  </r>
  <r>
    <x v="24"/>
    <d v="2025-07-13T00:00:00"/>
    <x v="0"/>
    <s v="Laptop"/>
    <s v="Electronics"/>
    <s v="North"/>
    <n v="1"/>
    <n v="20000"/>
  </r>
  <r>
    <x v="25"/>
    <d v="2025-07-21T00:00:00"/>
    <x v="6"/>
    <s v="Webcam"/>
    <s v="Accessories"/>
    <s v="East"/>
    <n v="6"/>
    <n v="18000"/>
  </r>
  <r>
    <x v="26"/>
    <d v="2025-07-30T00:00:00"/>
    <x v="1"/>
    <s v="Smartphone"/>
    <s v="Electronics"/>
    <s v="Central"/>
    <n v="2"/>
    <n v="110000"/>
  </r>
  <r>
    <x v="27"/>
    <d v="2025-08-05T00:00:00"/>
    <x v="3"/>
    <s v="Monitor"/>
    <s v="Electronics"/>
    <s v="South"/>
    <n v="2"/>
    <n v="50000"/>
  </r>
  <r>
    <x v="28"/>
    <d v="2025-08-12T00:00:00"/>
    <x v="2"/>
    <s v="Mouse"/>
    <s v="Accessories"/>
    <s v="West"/>
    <n v="7"/>
    <n v="17500"/>
  </r>
  <r>
    <x v="29"/>
    <d v="2025-08-23T00:00:00"/>
    <x v="7"/>
    <s v="Printer"/>
    <s v="Electronics"/>
    <s v="East"/>
    <n v="2"/>
    <n v="40000"/>
  </r>
  <r>
    <x v="30"/>
    <d v="2025-09-02T00:00:00"/>
    <x v="0"/>
    <s v="Laptop"/>
    <s v="Electronics"/>
    <s v="North"/>
    <n v="3"/>
    <n v="60000"/>
  </r>
  <r>
    <x v="31"/>
    <d v="2025-09-10T00:00:00"/>
    <x v="1"/>
    <s v="Smartphone"/>
    <s v="Electronics"/>
    <s v="South"/>
    <n v="1"/>
    <n v="55000"/>
  </r>
  <r>
    <x v="32"/>
    <d v="2025-09-19T00:00:00"/>
    <x v="6"/>
    <s v="Webcam"/>
    <s v="Accessories"/>
    <s v="Central"/>
    <n v="5"/>
    <n v="15000"/>
  </r>
  <r>
    <x v="33"/>
    <d v="2025-09-28T00:00:00"/>
    <x v="4"/>
    <s v="Headphones"/>
    <s v="Accessories"/>
    <s v="East"/>
    <n v="2"/>
    <n v="12000"/>
  </r>
  <r>
    <x v="34"/>
    <d v="2025-10-03T00:00:00"/>
    <x v="5"/>
    <s v="Tablet"/>
    <s v="Electronics"/>
    <s v="West"/>
    <n v="2"/>
    <n v="60000"/>
  </r>
  <r>
    <x v="35"/>
    <d v="2025-10-11T00:00:00"/>
    <x v="3"/>
    <s v="Monitor"/>
    <s v="Electronics"/>
    <s v="North"/>
    <n v="1"/>
    <n v="25000"/>
  </r>
  <r>
    <x v="36"/>
    <d v="2025-10-20T00:00:00"/>
    <x v="8"/>
    <s v="Smartwatch"/>
    <s v="Electronics"/>
    <s v="South"/>
    <n v="3"/>
    <n v="45000"/>
  </r>
  <r>
    <x v="37"/>
    <d v="2025-10-29T00:00:00"/>
    <x v="2"/>
    <s v="Mouse"/>
    <s v="Accessories"/>
    <s v="Central"/>
    <n v="10"/>
    <n v="25000"/>
  </r>
  <r>
    <x v="38"/>
    <d v="2025-11-04T00:00:00"/>
    <x v="1"/>
    <s v="Smartphone"/>
    <s v="Electronics"/>
    <s v="East"/>
    <n v="2"/>
    <n v="110000"/>
  </r>
  <r>
    <x v="39"/>
    <d v="2025-11-15T00:00:00"/>
    <x v="0"/>
    <s v="Laptop"/>
    <s v="Electronics"/>
    <s v="West"/>
    <n v="2"/>
    <n v="40000"/>
  </r>
  <r>
    <x v="40"/>
    <d v="2025-11-25T00:00:00"/>
    <x v="6"/>
    <s v="Webcam"/>
    <s v="Accessories"/>
    <s v="North"/>
    <n v="8"/>
    <n v="24000"/>
  </r>
  <r>
    <x v="41"/>
    <d v="2025-12-02T00:00:00"/>
    <x v="3"/>
    <s v="Monitor"/>
    <s v="Electronics"/>
    <s v="South"/>
    <n v="3"/>
    <n v="75000"/>
  </r>
  <r>
    <x v="42"/>
    <d v="2025-12-10T00:00:00"/>
    <x v="5"/>
    <s v="Tablet"/>
    <s v="Electronics"/>
    <s v="East"/>
    <n v="1"/>
    <n v="30000"/>
  </r>
  <r>
    <x v="43"/>
    <d v="2025-12-18T00:00:00"/>
    <x v="1"/>
    <s v="Smartphone"/>
    <s v="Electronics"/>
    <s v="West"/>
    <n v="2"/>
    <n v="110000"/>
  </r>
  <r>
    <x v="44"/>
    <d v="2025-12-28T00:00:00"/>
    <x v="0"/>
    <s v="Laptop"/>
    <s v="Electronics"/>
    <s v="Central"/>
    <n v="4"/>
    <n v="80000"/>
  </r>
  <r>
    <x v="45"/>
    <n v="2062613"/>
    <x v="10"/>
    <n v="0"/>
    <n v="0"/>
    <n v="0"/>
    <n v="141"/>
    <n v="2103000"/>
  </r>
  <r>
    <x v="46"/>
    <n v="89678.826086956527"/>
    <x v="10"/>
    <n v="0"/>
    <n v="0"/>
    <n v="0"/>
    <n v="6.1304347826086953"/>
    <n v="91434.782608695648"/>
  </r>
  <r>
    <x v="47"/>
    <n v="47"/>
    <x v="11"/>
    <n v="47"/>
    <n v="47"/>
    <n v="47"/>
    <n v="47"/>
    <n v="4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DDEC08-1A90-44C4-A768-9E5B2D9E22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B37" firstHeaderRow="1" firstDataRow="1" firstDataCol="1"/>
  <pivotFields count="1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13">
    <i>
      <x v="1"/>
    </i>
    <i>
      <x v="2"/>
    </i>
    <i>
      <x v="3"/>
    </i>
    <i>
      <x v="4"/>
    </i>
    <i>
      <x v="5"/>
    </i>
    <i>
      <x v="6"/>
    </i>
    <i>
      <x v="7"/>
    </i>
    <i>
      <x v="8"/>
    </i>
    <i>
      <x v="9"/>
    </i>
    <i>
      <x v="10"/>
    </i>
    <i>
      <x v="11"/>
    </i>
    <i>
      <x v="12"/>
    </i>
    <i t="grand">
      <x/>
    </i>
  </rowItems>
  <colItems count="1">
    <i/>
  </colItems>
  <dataFields count="1">
    <dataField name="Sum of SalesAmount" fld="7" baseField="0" baseItem="0"/>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5D809-C35D-46B1-8F3F-14F51174F3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10">
    <pivotField dataField="1"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11">
        <item x="4"/>
        <item x="9"/>
        <item x="0"/>
        <item x="3"/>
        <item x="2"/>
        <item x="7"/>
        <item x="1"/>
        <item x="8"/>
        <item x="5"/>
        <item x="6"/>
        <item t="default"/>
      </items>
    </pivotField>
    <pivotField axis="axisCol" showAll="0">
      <items count="3">
        <item x="1"/>
        <item x="0"/>
        <item t="default"/>
      </items>
    </pivotField>
    <pivotField axis="axisRow" showAll="0">
      <items count="6">
        <item sd="0" x="2"/>
        <item sd="0" x="4"/>
        <item sd="0" x="0"/>
        <item sd="0" x="1"/>
        <item sd="0" x="3"/>
        <item t="default" sd="0"/>
      </items>
    </pivotField>
    <pivotField showAll="0"/>
    <pivotField showAll="0">
      <items count="20">
        <item x="6"/>
        <item x="2"/>
        <item x="10"/>
        <item x="15"/>
        <item x="4"/>
        <item x="8"/>
        <item x="13"/>
        <item x="12"/>
        <item x="9"/>
        <item x="0"/>
        <item x="16"/>
        <item x="3"/>
        <item x="1"/>
        <item x="5"/>
        <item x="17"/>
        <item x="18"/>
        <item x="14"/>
        <item x="7"/>
        <item x="11"/>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4">
    <field x="5"/>
    <field x="9"/>
    <field x="8"/>
    <field x="1"/>
  </rowFields>
  <rowItems count="6">
    <i>
      <x/>
    </i>
    <i>
      <x v="1"/>
    </i>
    <i>
      <x v="2"/>
    </i>
    <i>
      <x v="3"/>
    </i>
    <i>
      <x v="4"/>
    </i>
    <i t="grand">
      <x/>
    </i>
  </rowItems>
  <colFields count="1">
    <field x="4"/>
  </colFields>
  <colItems count="3">
    <i>
      <x/>
    </i>
    <i>
      <x v="1"/>
    </i>
    <i t="grand">
      <x/>
    </i>
  </colItems>
  <dataFields count="1">
    <dataField name="Sum of OrderID" fld="0" baseField="0" baseItem="0"/>
  </dataFields>
  <chartFormats count="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39CFFE-BEA0-4D42-8E25-1C604AC84AD2}"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z">
  <location ref="B114:D131" firstHeaderRow="1" firstDataRow="1" firstDataCol="0"/>
  <pivotFields count="3">
    <pivotField showAll="0">
      <items count="2">
        <item x="0"/>
        <item t="default"/>
      </items>
    </pivotField>
    <pivotField showAll="0">
      <items count="2">
        <item x="0"/>
        <item t="default"/>
      </items>
    </pivotField>
    <pivotField showAll="0">
      <items count="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FAA7C-C45C-49D7-B2ED-8E4FEED53CA6}" name="PivotTable2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1:C69" firstHeaderRow="1" firstDataRow="1" firstDataCol="1"/>
  <pivotFields count="8">
    <pivotField axis="axisRow" showAll="0">
      <items count="49">
        <item h="1" x="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h="1" x="46"/>
        <item h="1" x="45"/>
        <item t="default"/>
      </items>
    </pivotField>
    <pivotField showAll="0"/>
    <pivotField showAll="0">
      <items count="13">
        <item h="1" x="10"/>
        <item h="1" x="11"/>
        <item x="0"/>
        <item h="1" x="1"/>
        <item h="1" x="4"/>
        <item h="1" x="5"/>
        <item h="1" x="2"/>
        <item h="1" x="9"/>
        <item h="1" x="3"/>
        <item h="1" x="7"/>
        <item h="1" x="8"/>
        <item h="1" x="6"/>
        <item t="default"/>
      </items>
    </pivotField>
    <pivotField showAll="0"/>
    <pivotField showAll="0"/>
    <pivotField showAll="0"/>
    <pivotField showAll="0"/>
    <pivotField dataField="1" showAll="0"/>
  </pivotFields>
  <rowFields count="1">
    <field x="0"/>
  </rowFields>
  <rowItems count="8">
    <i>
      <x v="1"/>
    </i>
    <i>
      <x v="9"/>
    </i>
    <i>
      <x v="18"/>
    </i>
    <i>
      <x v="25"/>
    </i>
    <i>
      <x v="31"/>
    </i>
    <i>
      <x v="40"/>
    </i>
    <i>
      <x v="45"/>
    </i>
    <i t="grand">
      <x/>
    </i>
  </rowItems>
  <colItems count="1">
    <i/>
  </colItems>
  <dataFields count="1">
    <dataField name="Sum of SalesAmount"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E4C702-032F-4961-9CC8-7C9A61499C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5:C51" firstHeaderRow="1" firstDataRow="1" firstDataCol="1"/>
  <pivotFields count="1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sortType="descending">
      <items count="11">
        <item h="1" x="4"/>
        <item h="1" x="9"/>
        <item x="0"/>
        <item x="3"/>
        <item h="1" x="2"/>
        <item x="7"/>
        <item x="1"/>
        <item h="1" x="8"/>
        <item x="5"/>
        <item h="1" x="6"/>
        <item t="default"/>
      </items>
      <autoSortScope>
        <pivotArea dataOnly="0" outline="0" fieldPosition="0">
          <references count="1">
            <reference field="4294967294" count="1" selected="0">
              <x v="0"/>
            </reference>
          </references>
        </pivotArea>
      </autoSortScope>
    </pivotField>
    <pivotField showAll="0"/>
    <pivotField showAll="0">
      <items count="6">
        <item x="2"/>
        <item x="4"/>
        <item x="0"/>
        <item x="1"/>
        <item x="3"/>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6"/>
    </i>
    <i>
      <x v="2"/>
    </i>
    <i>
      <x v="8"/>
    </i>
    <i>
      <x v="3"/>
    </i>
    <i>
      <x v="5"/>
    </i>
    <i t="grand">
      <x/>
    </i>
  </rowItems>
  <colItems count="1">
    <i/>
  </colItems>
  <dataFields count="1">
    <dataField name="Sum of SalesAmount" fld="7" baseField="0" baseItem="0"/>
  </dataFields>
  <chartFormats count="12">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8"/>
          </reference>
        </references>
      </pivotArea>
    </chartFormat>
    <chartFormat chart="0" format="8">
      <pivotArea type="data" outline="0" fieldPosition="0">
        <references count="2">
          <reference field="4294967294" count="1" selected="0">
            <x v="0"/>
          </reference>
          <reference field="3" count="1" selected="0">
            <x v="3"/>
          </reference>
        </references>
      </pivotArea>
    </chartFormat>
    <chartFormat chart="0" format="9">
      <pivotArea type="data" outline="0" fieldPosition="0">
        <references count="2">
          <reference field="4294967294" count="1" selected="0">
            <x v="0"/>
          </reference>
          <reference field="3" count="1" selected="0">
            <x v="5"/>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3" count="1" selected="0">
            <x v="6"/>
          </reference>
        </references>
      </pivotArea>
    </chartFormat>
    <chartFormat chart="4" format="18">
      <pivotArea type="data" outline="0" fieldPosition="0">
        <references count="2">
          <reference field="4294967294" count="1" selected="0">
            <x v="0"/>
          </reference>
          <reference field="3" count="1" selected="0">
            <x v="2"/>
          </reference>
        </references>
      </pivotArea>
    </chartFormat>
    <chartFormat chart="4" format="19">
      <pivotArea type="data" outline="0" fieldPosition="0">
        <references count="2">
          <reference field="4294967294" count="1" selected="0">
            <x v="0"/>
          </reference>
          <reference field="3" count="1" selected="0">
            <x v="8"/>
          </reference>
        </references>
      </pivotArea>
    </chartFormat>
    <chartFormat chart="4" format="20">
      <pivotArea type="data" outline="0" fieldPosition="0">
        <references count="2">
          <reference field="4294967294" count="1" selected="0">
            <x v="0"/>
          </reference>
          <reference field="3" count="1" selected="0">
            <x v="3"/>
          </reference>
        </references>
      </pivotArea>
    </chartFormat>
    <chartFormat chart="4" format="2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2FB8A0D3-7F5D-441C-AC10-1F1BDDBF3CA7}" sourceName="ProductName">
  <pivotTables>
    <pivotTable tabId="4" name="PivotTable4"/>
  </pivotTables>
  <data>
    <tabular pivotCacheId="678502317">
      <items count="10">
        <i x="4" s="1"/>
        <i x="9" s="1"/>
        <i x="0" s="1"/>
        <i x="3" s="1"/>
        <i x="2" s="1"/>
        <i x="7" s="1"/>
        <i x="1" s="1"/>
        <i x="8"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ID" xr10:uid="{697BDF49-D875-4B31-8743-A83BB2B8B402}" sourceName="RegionID">
  <pivotTables>
    <pivotTable tabId="4" name="PivotTable6"/>
  </pivotTables>
  <data>
    <tabular pivotCacheId="678502317">
      <items count="5">
        <i x="2" s="1"/>
        <i x="4"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98F53D01-3166-4747-BD8E-E9111A654C2E}" sourceName="ProductID">
  <pivotTables>
    <pivotTable tabId="4" name="PivotTable28"/>
  </pivotTables>
  <data>
    <tabular pivotCacheId="632370916">
      <items count="12">
        <i x="0" s="1"/>
        <i x="1"/>
        <i x="4"/>
        <i x="5"/>
        <i x="2"/>
        <i x="9"/>
        <i x="3"/>
        <i x="7"/>
        <i x="8"/>
        <i x="6"/>
        <i x="10"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EB11B486-37E1-4706-BA47-546CEF2E963A}" cache="Slicer_ProductName" caption="ProductName" rowHeight="247650"/>
  <slicer name="ProductName 1" xr10:uid="{0CAC16DE-EE20-4983-979B-718689C75C9E}" cache="Slicer_ProductName" caption="ProductName" rowHeight="247650"/>
  <slicer name="RegionID" xr10:uid="{A25A4CD9-E4EE-4C8B-B9AA-60C0EB9299DB}" cache="Slicer_RegionID" caption="RegionID" rowHeight="247650"/>
  <slicer name="ProductID" xr10:uid="{BC03F424-6EA6-4740-A21E-464C0151DE7D}" cache="Slicer_ProductID" caption="ProductI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2" xr10:uid="{89F180A2-B071-404D-9C7F-1D02C7294065}" cache="Slicer_ProductName" caption="ProductName" rowHeight="247650"/>
  <slicer name="RegionID 1" xr10:uid="{AF340A19-A751-4B3E-BA05-88D5BA224BE9}" cache="Slicer_RegionID" caption="RegionID" rowHeight="247650"/>
  <slicer name="ProductID 1" xr10:uid="{188A179C-1A6B-4EC5-8890-B2F7C3487D02}" cache="Slicer_ProductID" caption="ProductID"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B38BF-1456-4732-8973-2B20DD861498}">
  <dimension ref="A3:D131"/>
  <sheetViews>
    <sheetView workbookViewId="0">
      <selection activeCell="D83" sqref="D83"/>
    </sheetView>
  </sheetViews>
  <sheetFormatPr defaultRowHeight="14.4" x14ac:dyDescent="0.3"/>
  <cols>
    <col min="1" max="1" width="13.6640625" bestFit="1" customWidth="1"/>
    <col min="2" max="2" width="15.5546875" bestFit="1" customWidth="1"/>
    <col min="3" max="3" width="10.33203125" bestFit="1" customWidth="1"/>
    <col min="4" max="5" width="10.5546875" bestFit="1" customWidth="1"/>
    <col min="6" max="7" width="7" bestFit="1" customWidth="1"/>
    <col min="8" max="8" width="10.5546875" bestFit="1" customWidth="1"/>
  </cols>
  <sheetData>
    <row r="3" spans="1:4" x14ac:dyDescent="0.3">
      <c r="A3" s="15" t="s">
        <v>33</v>
      </c>
      <c r="B3" s="15" t="s">
        <v>34</v>
      </c>
    </row>
    <row r="4" spans="1:4" x14ac:dyDescent="0.3">
      <c r="A4" s="15" t="s">
        <v>30</v>
      </c>
      <c r="B4" t="s">
        <v>15</v>
      </c>
      <c r="C4" t="s">
        <v>10</v>
      </c>
      <c r="D4" t="s">
        <v>32</v>
      </c>
    </row>
    <row r="5" spans="1:4" x14ac:dyDescent="0.3">
      <c r="A5" s="16" t="s">
        <v>39</v>
      </c>
      <c r="B5" s="18">
        <v>6108</v>
      </c>
      <c r="C5" s="18">
        <v>3092</v>
      </c>
      <c r="D5" s="18">
        <v>9200</v>
      </c>
    </row>
    <row r="6" spans="1:4" x14ac:dyDescent="0.3">
      <c r="A6" s="16" t="s">
        <v>37</v>
      </c>
      <c r="B6" s="18">
        <v>4086</v>
      </c>
      <c r="C6" s="18">
        <v>5138</v>
      </c>
      <c r="D6" s="18">
        <v>9224</v>
      </c>
    </row>
    <row r="7" spans="1:4" x14ac:dyDescent="0.3">
      <c r="A7" s="16" t="s">
        <v>35</v>
      </c>
      <c r="B7" s="18">
        <v>1041</v>
      </c>
      <c r="C7" s="18">
        <v>8148</v>
      </c>
      <c r="D7" s="18">
        <v>9189</v>
      </c>
    </row>
    <row r="8" spans="1:4" x14ac:dyDescent="0.3">
      <c r="A8" s="16" t="s">
        <v>36</v>
      </c>
      <c r="B8" s="18">
        <v>2040</v>
      </c>
      <c r="C8" s="18">
        <v>7162</v>
      </c>
      <c r="D8" s="18">
        <v>9202</v>
      </c>
    </row>
    <row r="9" spans="1:4" x14ac:dyDescent="0.3">
      <c r="A9" s="16" t="s">
        <v>38</v>
      </c>
      <c r="B9" s="18">
        <v>1029</v>
      </c>
      <c r="C9" s="18">
        <v>8191</v>
      </c>
      <c r="D9" s="18">
        <v>9220</v>
      </c>
    </row>
    <row r="10" spans="1:4" x14ac:dyDescent="0.3">
      <c r="A10" s="16" t="s">
        <v>32</v>
      </c>
      <c r="B10" s="18">
        <v>14304</v>
      </c>
      <c r="C10" s="18">
        <v>31731</v>
      </c>
      <c r="D10" s="18">
        <v>46035</v>
      </c>
    </row>
    <row r="24" spans="1:2" x14ac:dyDescent="0.3">
      <c r="A24" s="15" t="s">
        <v>30</v>
      </c>
      <c r="B24" t="s">
        <v>31</v>
      </c>
    </row>
    <row r="25" spans="1:2" x14ac:dyDescent="0.3">
      <c r="A25" s="16" t="s">
        <v>40</v>
      </c>
      <c r="B25">
        <v>157500</v>
      </c>
    </row>
    <row r="26" spans="1:2" x14ac:dyDescent="0.3">
      <c r="A26" s="16" t="s">
        <v>41</v>
      </c>
      <c r="B26">
        <v>200000</v>
      </c>
    </row>
    <row r="27" spans="1:2" x14ac:dyDescent="0.3">
      <c r="A27" s="16" t="s">
        <v>42</v>
      </c>
      <c r="B27">
        <v>125000</v>
      </c>
    </row>
    <row r="28" spans="1:2" x14ac:dyDescent="0.3">
      <c r="A28" s="16" t="s">
        <v>43</v>
      </c>
      <c r="B28">
        <v>240000</v>
      </c>
    </row>
    <row r="29" spans="1:2" x14ac:dyDescent="0.3">
      <c r="A29" s="16" t="s">
        <v>44</v>
      </c>
      <c r="B29">
        <v>140000</v>
      </c>
    </row>
    <row r="30" spans="1:2" x14ac:dyDescent="0.3">
      <c r="A30" s="16" t="s">
        <v>45</v>
      </c>
      <c r="B30">
        <v>189000</v>
      </c>
    </row>
    <row r="31" spans="1:2" x14ac:dyDescent="0.3">
      <c r="A31" s="16" t="s">
        <v>46</v>
      </c>
      <c r="B31">
        <v>178000</v>
      </c>
    </row>
    <row r="32" spans="1:2" x14ac:dyDescent="0.3">
      <c r="A32" s="16" t="s">
        <v>47</v>
      </c>
      <c r="B32">
        <v>107500</v>
      </c>
    </row>
    <row r="33" spans="1:3" x14ac:dyDescent="0.3">
      <c r="A33" s="16" t="s">
        <v>48</v>
      </c>
      <c r="B33">
        <v>142000</v>
      </c>
    </row>
    <row r="34" spans="1:3" x14ac:dyDescent="0.3">
      <c r="A34" s="16" t="s">
        <v>49</v>
      </c>
      <c r="B34">
        <v>155000</v>
      </c>
    </row>
    <row r="35" spans="1:3" x14ac:dyDescent="0.3">
      <c r="A35" s="16" t="s">
        <v>50</v>
      </c>
      <c r="B35">
        <v>174000</v>
      </c>
    </row>
    <row r="36" spans="1:3" x14ac:dyDescent="0.3">
      <c r="A36" s="16" t="s">
        <v>51</v>
      </c>
      <c r="B36">
        <v>295000</v>
      </c>
    </row>
    <row r="37" spans="1:3" x14ac:dyDescent="0.3">
      <c r="A37" s="16" t="s">
        <v>32</v>
      </c>
      <c r="B37">
        <v>2103000</v>
      </c>
    </row>
    <row r="45" spans="1:3" x14ac:dyDescent="0.3">
      <c r="B45" s="15" t="s">
        <v>30</v>
      </c>
      <c r="C45" t="s">
        <v>31</v>
      </c>
    </row>
    <row r="46" spans="1:3" x14ac:dyDescent="0.3">
      <c r="B46" s="16" t="s">
        <v>12</v>
      </c>
      <c r="C46" s="18">
        <v>770000</v>
      </c>
    </row>
    <row r="47" spans="1:3" x14ac:dyDescent="0.3">
      <c r="B47" s="16" t="s">
        <v>9</v>
      </c>
      <c r="C47" s="18">
        <v>340000</v>
      </c>
    </row>
    <row r="48" spans="1:3" x14ac:dyDescent="0.3">
      <c r="B48" s="16" t="s">
        <v>21</v>
      </c>
      <c r="C48" s="18">
        <v>300000</v>
      </c>
    </row>
    <row r="49" spans="2:3" x14ac:dyDescent="0.3">
      <c r="B49" s="16" t="s">
        <v>17</v>
      </c>
      <c r="C49" s="18">
        <v>225000</v>
      </c>
    </row>
    <row r="50" spans="2:3" x14ac:dyDescent="0.3">
      <c r="B50" s="16" t="s">
        <v>25</v>
      </c>
      <c r="C50" s="18">
        <v>120000</v>
      </c>
    </row>
    <row r="51" spans="2:3" x14ac:dyDescent="0.3">
      <c r="B51" s="16" t="s">
        <v>32</v>
      </c>
      <c r="C51" s="18">
        <v>1755000</v>
      </c>
    </row>
    <row r="61" spans="2:3" x14ac:dyDescent="0.3">
      <c r="B61" s="15" t="s">
        <v>30</v>
      </c>
      <c r="C61" t="s">
        <v>31</v>
      </c>
    </row>
    <row r="62" spans="2:3" x14ac:dyDescent="0.3">
      <c r="B62" s="16">
        <v>1001</v>
      </c>
      <c r="C62" s="18">
        <v>40000</v>
      </c>
    </row>
    <row r="63" spans="2:3" x14ac:dyDescent="0.3">
      <c r="B63" s="16">
        <v>1009</v>
      </c>
      <c r="C63" s="18">
        <v>60000</v>
      </c>
    </row>
    <row r="64" spans="2:3" x14ac:dyDescent="0.3">
      <c r="B64" s="16">
        <v>1018</v>
      </c>
      <c r="C64" s="18">
        <v>40000</v>
      </c>
    </row>
    <row r="65" spans="2:3" x14ac:dyDescent="0.3">
      <c r="B65" s="16">
        <v>1025</v>
      </c>
      <c r="C65" s="18">
        <v>20000</v>
      </c>
    </row>
    <row r="66" spans="2:3" x14ac:dyDescent="0.3">
      <c r="B66" s="16">
        <v>1031</v>
      </c>
      <c r="C66" s="18">
        <v>60000</v>
      </c>
    </row>
    <row r="67" spans="2:3" x14ac:dyDescent="0.3">
      <c r="B67" s="16">
        <v>1040</v>
      </c>
      <c r="C67" s="18">
        <v>40000</v>
      </c>
    </row>
    <row r="68" spans="2:3" x14ac:dyDescent="0.3">
      <c r="B68" s="16">
        <v>1045</v>
      </c>
      <c r="C68" s="18">
        <v>80000</v>
      </c>
    </row>
    <row r="69" spans="2:3" x14ac:dyDescent="0.3">
      <c r="B69" s="16" t="s">
        <v>32</v>
      </c>
      <c r="C69" s="18">
        <v>340000</v>
      </c>
    </row>
    <row r="85" spans="3:3" ht="23.4" x14ac:dyDescent="0.3">
      <c r="C85" s="23"/>
    </row>
    <row r="114" spans="2:4" x14ac:dyDescent="0.3">
      <c r="B114" s="6"/>
      <c r="C114" s="7"/>
      <c r="D114" s="8"/>
    </row>
    <row r="115" spans="2:4" x14ac:dyDescent="0.3">
      <c r="B115" s="9"/>
      <c r="C115" s="10"/>
      <c r="D115" s="11"/>
    </row>
    <row r="116" spans="2:4" x14ac:dyDescent="0.3">
      <c r="B116" s="9"/>
      <c r="C116" s="10"/>
      <c r="D116" s="11"/>
    </row>
    <row r="117" spans="2:4" x14ac:dyDescent="0.3">
      <c r="B117" s="9"/>
      <c r="C117" s="10"/>
      <c r="D117" s="11"/>
    </row>
    <row r="118" spans="2:4" x14ac:dyDescent="0.3">
      <c r="B118" s="9"/>
      <c r="C118" s="10"/>
      <c r="D118" s="11"/>
    </row>
    <row r="119" spans="2:4" x14ac:dyDescent="0.3">
      <c r="B119" s="9"/>
      <c r="C119" s="10"/>
      <c r="D119" s="11"/>
    </row>
    <row r="120" spans="2:4" x14ac:dyDescent="0.3">
      <c r="B120" s="9"/>
      <c r="C120" s="10"/>
      <c r="D120" s="11"/>
    </row>
    <row r="121" spans="2:4" x14ac:dyDescent="0.3">
      <c r="B121" s="9"/>
      <c r="C121" s="10"/>
      <c r="D121" s="11"/>
    </row>
    <row r="122" spans="2:4" x14ac:dyDescent="0.3">
      <c r="B122" s="9"/>
      <c r="C122" s="10"/>
      <c r="D122" s="11"/>
    </row>
    <row r="123" spans="2:4" x14ac:dyDescent="0.3">
      <c r="B123" s="9"/>
      <c r="C123" s="10"/>
      <c r="D123" s="11"/>
    </row>
    <row r="124" spans="2:4" x14ac:dyDescent="0.3">
      <c r="B124" s="9"/>
      <c r="C124" s="10"/>
      <c r="D124" s="11"/>
    </row>
    <row r="125" spans="2:4" x14ac:dyDescent="0.3">
      <c r="B125" s="9"/>
      <c r="C125" s="10"/>
      <c r="D125" s="11"/>
    </row>
    <row r="126" spans="2:4" x14ac:dyDescent="0.3">
      <c r="B126" s="9"/>
      <c r="C126" s="10"/>
      <c r="D126" s="11"/>
    </row>
    <row r="127" spans="2:4" x14ac:dyDescent="0.3">
      <c r="B127" s="9"/>
      <c r="C127" s="10"/>
      <c r="D127" s="11"/>
    </row>
    <row r="128" spans="2:4" x14ac:dyDescent="0.3">
      <c r="B128" s="9"/>
      <c r="C128" s="10"/>
      <c r="D128" s="11"/>
    </row>
    <row r="129" spans="2:4" x14ac:dyDescent="0.3">
      <c r="B129" s="9"/>
      <c r="C129" s="10"/>
      <c r="D129" s="11"/>
    </row>
    <row r="130" spans="2:4" x14ac:dyDescent="0.3">
      <c r="B130" s="9"/>
      <c r="C130" s="10"/>
      <c r="D130" s="11"/>
    </row>
    <row r="131" spans="2:4" x14ac:dyDescent="0.3">
      <c r="B131" s="12"/>
      <c r="C131" s="13"/>
      <c r="D131" s="1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B783-C59A-4C7B-9159-CFE3D894C59F}">
  <dimension ref="A1:M49"/>
  <sheetViews>
    <sheetView workbookViewId="0">
      <selection activeCell="E4" sqref="A1:H49"/>
    </sheetView>
  </sheetViews>
  <sheetFormatPr defaultRowHeight="14.4" x14ac:dyDescent="0.3"/>
  <cols>
    <col min="2" max="2" width="12" customWidth="1"/>
  </cols>
  <sheetData>
    <row r="1" spans="1:13" ht="57.6" x14ac:dyDescent="0.3">
      <c r="A1" s="2" t="s">
        <v>0</v>
      </c>
      <c r="B1" s="3" t="s">
        <v>1</v>
      </c>
      <c r="C1" s="3" t="s">
        <v>2</v>
      </c>
      <c r="D1" s="3" t="s">
        <v>3</v>
      </c>
      <c r="E1" s="3" t="s">
        <v>4</v>
      </c>
      <c r="F1" s="3" t="s">
        <v>5</v>
      </c>
      <c r="G1" s="3" t="s">
        <v>6</v>
      </c>
      <c r="H1" s="3" t="s">
        <v>7</v>
      </c>
      <c r="J1" s="3"/>
      <c r="K1" s="3" t="s">
        <v>52</v>
      </c>
      <c r="L1" s="3" t="s">
        <v>53</v>
      </c>
      <c r="M1" s="3" t="s">
        <v>54</v>
      </c>
    </row>
    <row r="2" spans="1:13" ht="28.8" x14ac:dyDescent="0.3">
      <c r="A2" s="1">
        <v>1001</v>
      </c>
      <c r="B2" s="4">
        <v>45659</v>
      </c>
      <c r="C2" s="5" t="s">
        <v>8</v>
      </c>
      <c r="D2" s="5" t="s">
        <v>9</v>
      </c>
      <c r="E2" s="5" t="s">
        <v>10</v>
      </c>
      <c r="F2" s="5" t="s">
        <v>35</v>
      </c>
      <c r="G2" s="5">
        <v>2</v>
      </c>
      <c r="H2" s="5">
        <v>40000</v>
      </c>
      <c r="K2" s="5">
        <v>2103000</v>
      </c>
      <c r="L2" t="s">
        <v>9</v>
      </c>
      <c r="M2" t="s">
        <v>35</v>
      </c>
    </row>
    <row r="3" spans="1:13" ht="28.8" x14ac:dyDescent="0.3">
      <c r="A3" s="1">
        <v>1002</v>
      </c>
      <c r="B3" s="4">
        <v>45662</v>
      </c>
      <c r="C3" s="5" t="s">
        <v>11</v>
      </c>
      <c r="D3" s="5" t="s">
        <v>12</v>
      </c>
      <c r="E3" s="5" t="s">
        <v>10</v>
      </c>
      <c r="F3" s="5" t="s">
        <v>36</v>
      </c>
      <c r="G3" s="5">
        <v>1</v>
      </c>
      <c r="H3" s="5">
        <v>55000</v>
      </c>
    </row>
    <row r="4" spans="1:13" ht="28.8" x14ac:dyDescent="0.3">
      <c r="A4" s="1">
        <v>1003</v>
      </c>
      <c r="B4" s="4">
        <v>45672</v>
      </c>
      <c r="C4" s="5" t="s">
        <v>13</v>
      </c>
      <c r="D4" s="5" t="s">
        <v>14</v>
      </c>
      <c r="E4" s="5" t="s">
        <v>15</v>
      </c>
      <c r="F4" s="5" t="s">
        <v>39</v>
      </c>
      <c r="G4" s="5">
        <v>5</v>
      </c>
      <c r="H4" s="5">
        <v>12500</v>
      </c>
    </row>
    <row r="5" spans="1:13" ht="28.8" x14ac:dyDescent="0.3">
      <c r="A5" s="1">
        <v>1004</v>
      </c>
      <c r="B5" s="4">
        <v>45685</v>
      </c>
      <c r="C5" s="5" t="s">
        <v>16</v>
      </c>
      <c r="D5" s="5" t="s">
        <v>17</v>
      </c>
      <c r="E5" s="5" t="s">
        <v>10</v>
      </c>
      <c r="F5" s="5" t="s">
        <v>38</v>
      </c>
      <c r="G5" s="5">
        <v>2</v>
      </c>
      <c r="H5" s="5">
        <v>50000</v>
      </c>
    </row>
    <row r="6" spans="1:13" ht="28.8" x14ac:dyDescent="0.3">
      <c r="A6" s="1">
        <v>1005</v>
      </c>
      <c r="B6" s="4">
        <v>45691</v>
      </c>
      <c r="C6" s="5" t="s">
        <v>18</v>
      </c>
      <c r="D6" s="5" t="s">
        <v>19</v>
      </c>
      <c r="E6" s="5" t="s">
        <v>15</v>
      </c>
      <c r="F6" s="5" t="s">
        <v>37</v>
      </c>
      <c r="G6" s="5">
        <v>3</v>
      </c>
      <c r="H6" s="5">
        <v>18000</v>
      </c>
    </row>
    <row r="7" spans="1:13" ht="28.8" x14ac:dyDescent="0.3">
      <c r="A7" s="1">
        <v>1006</v>
      </c>
      <c r="B7" s="4">
        <v>45698</v>
      </c>
      <c r="C7" s="5" t="s">
        <v>20</v>
      </c>
      <c r="D7" s="5" t="s">
        <v>21</v>
      </c>
      <c r="E7" s="5" t="s">
        <v>10</v>
      </c>
      <c r="F7" s="5" t="s">
        <v>35</v>
      </c>
      <c r="G7" s="5">
        <v>2</v>
      </c>
      <c r="H7" s="5">
        <v>60000</v>
      </c>
    </row>
    <row r="8" spans="1:13" ht="28.8" x14ac:dyDescent="0.3">
      <c r="A8" s="1">
        <v>1007</v>
      </c>
      <c r="B8" s="4">
        <v>45706</v>
      </c>
      <c r="C8" s="5" t="s">
        <v>22</v>
      </c>
      <c r="D8" s="5" t="s">
        <v>23</v>
      </c>
      <c r="E8" s="5" t="s">
        <v>15</v>
      </c>
      <c r="F8" s="5" t="s">
        <v>39</v>
      </c>
      <c r="G8" s="5">
        <v>4</v>
      </c>
      <c r="H8" s="5">
        <v>12000</v>
      </c>
    </row>
    <row r="9" spans="1:13" ht="28.8" x14ac:dyDescent="0.3">
      <c r="A9" s="1">
        <v>1008</v>
      </c>
      <c r="B9" s="4">
        <v>45715</v>
      </c>
      <c r="C9" s="5" t="s">
        <v>11</v>
      </c>
      <c r="D9" s="5" t="s">
        <v>12</v>
      </c>
      <c r="E9" s="5" t="s">
        <v>10</v>
      </c>
      <c r="F9" s="5" t="s">
        <v>36</v>
      </c>
      <c r="G9" s="5">
        <v>2</v>
      </c>
      <c r="H9" s="5">
        <v>110000</v>
      </c>
    </row>
    <row r="10" spans="1:13" ht="28.8" x14ac:dyDescent="0.3">
      <c r="A10" s="1">
        <v>1009</v>
      </c>
      <c r="B10" s="4">
        <v>45720</v>
      </c>
      <c r="C10" s="5" t="s">
        <v>8</v>
      </c>
      <c r="D10" s="5" t="s">
        <v>9</v>
      </c>
      <c r="E10" s="5" t="s">
        <v>10</v>
      </c>
      <c r="F10" s="5" t="s">
        <v>35</v>
      </c>
      <c r="G10" s="5">
        <v>3</v>
      </c>
      <c r="H10" s="5">
        <v>60000</v>
      </c>
    </row>
    <row r="11" spans="1:13" ht="28.8" x14ac:dyDescent="0.3">
      <c r="A11" s="1">
        <v>1010</v>
      </c>
      <c r="B11" s="4">
        <v>45728</v>
      </c>
      <c r="C11" s="5" t="s">
        <v>24</v>
      </c>
      <c r="D11" s="5" t="s">
        <v>25</v>
      </c>
      <c r="E11" s="5" t="s">
        <v>10</v>
      </c>
      <c r="F11" s="5" t="s">
        <v>37</v>
      </c>
      <c r="G11" s="5">
        <v>1</v>
      </c>
      <c r="H11" s="5">
        <v>20000</v>
      </c>
    </row>
    <row r="12" spans="1:13" ht="28.8" x14ac:dyDescent="0.3">
      <c r="A12" s="1">
        <v>1011</v>
      </c>
      <c r="B12" s="4">
        <v>45736</v>
      </c>
      <c r="C12" s="5" t="s">
        <v>26</v>
      </c>
      <c r="D12" s="5" t="s">
        <v>27</v>
      </c>
      <c r="E12" s="5" t="s">
        <v>10</v>
      </c>
      <c r="F12" s="5" t="s">
        <v>38</v>
      </c>
      <c r="G12" s="5">
        <v>2</v>
      </c>
      <c r="H12" s="5">
        <v>30000</v>
      </c>
    </row>
    <row r="13" spans="1:13" ht="28.8" x14ac:dyDescent="0.3">
      <c r="A13" s="1">
        <v>1012</v>
      </c>
      <c r="B13" s="4">
        <v>45746</v>
      </c>
      <c r="C13" s="5" t="s">
        <v>28</v>
      </c>
      <c r="D13" s="5" t="s">
        <v>29</v>
      </c>
      <c r="E13" s="5" t="s">
        <v>15</v>
      </c>
      <c r="F13" s="5" t="s">
        <v>39</v>
      </c>
      <c r="G13" s="5">
        <v>5</v>
      </c>
      <c r="H13" s="5">
        <v>15000</v>
      </c>
    </row>
    <row r="14" spans="1:13" ht="28.8" x14ac:dyDescent="0.3">
      <c r="A14" s="1">
        <v>1013</v>
      </c>
      <c r="B14" s="4">
        <v>45752</v>
      </c>
      <c r="C14" s="5" t="s">
        <v>11</v>
      </c>
      <c r="D14" s="5" t="s">
        <v>12</v>
      </c>
      <c r="E14" s="5" t="s">
        <v>10</v>
      </c>
      <c r="F14" s="5" t="s">
        <v>36</v>
      </c>
      <c r="G14" s="5">
        <v>3</v>
      </c>
      <c r="H14" s="5">
        <v>165000</v>
      </c>
    </row>
    <row r="15" spans="1:13" ht="28.8" x14ac:dyDescent="0.3">
      <c r="A15" s="1">
        <v>1014</v>
      </c>
      <c r="B15" s="4">
        <v>45757</v>
      </c>
      <c r="C15" s="5" t="s">
        <v>20</v>
      </c>
      <c r="D15" s="5" t="s">
        <v>21</v>
      </c>
      <c r="E15" s="5" t="s">
        <v>10</v>
      </c>
      <c r="F15" s="5" t="s">
        <v>38</v>
      </c>
      <c r="G15" s="5">
        <v>2</v>
      </c>
      <c r="H15" s="5">
        <v>60000</v>
      </c>
    </row>
    <row r="16" spans="1:13" ht="28.8" x14ac:dyDescent="0.3">
      <c r="A16" s="1">
        <v>1015</v>
      </c>
      <c r="B16" s="4">
        <v>45769</v>
      </c>
      <c r="C16" s="5" t="s">
        <v>13</v>
      </c>
      <c r="D16" s="5" t="s">
        <v>14</v>
      </c>
      <c r="E16" s="5" t="s">
        <v>15</v>
      </c>
      <c r="F16" s="5" t="s">
        <v>39</v>
      </c>
      <c r="G16" s="5">
        <v>6</v>
      </c>
      <c r="H16" s="5">
        <v>15000</v>
      </c>
    </row>
    <row r="17" spans="1:8" ht="28.8" x14ac:dyDescent="0.3">
      <c r="A17" s="1">
        <v>1016</v>
      </c>
      <c r="B17" s="4">
        <v>45779</v>
      </c>
      <c r="C17" s="5" t="s">
        <v>16</v>
      </c>
      <c r="D17" s="5" t="s">
        <v>17</v>
      </c>
      <c r="E17" s="5" t="s">
        <v>10</v>
      </c>
      <c r="F17" s="5" t="s">
        <v>37</v>
      </c>
      <c r="G17" s="5">
        <v>1</v>
      </c>
      <c r="H17" s="5">
        <v>25000</v>
      </c>
    </row>
    <row r="18" spans="1:8" ht="28.8" x14ac:dyDescent="0.3">
      <c r="A18" s="1">
        <v>1017</v>
      </c>
      <c r="B18" s="4">
        <v>45788</v>
      </c>
      <c r="C18" s="5" t="s">
        <v>22</v>
      </c>
      <c r="D18" s="5" t="s">
        <v>23</v>
      </c>
      <c r="E18" s="5" t="s">
        <v>15</v>
      </c>
      <c r="F18" s="5" t="s">
        <v>36</v>
      </c>
      <c r="G18" s="5">
        <v>5</v>
      </c>
      <c r="H18" s="5">
        <v>15000</v>
      </c>
    </row>
    <row r="19" spans="1:8" ht="28.8" x14ac:dyDescent="0.3">
      <c r="A19" s="1">
        <v>1018</v>
      </c>
      <c r="B19" s="4">
        <v>45796</v>
      </c>
      <c r="C19" s="5" t="s">
        <v>8</v>
      </c>
      <c r="D19" s="5" t="s">
        <v>9</v>
      </c>
      <c r="E19" s="5" t="s">
        <v>10</v>
      </c>
      <c r="F19" s="5" t="s">
        <v>35</v>
      </c>
      <c r="G19" s="5">
        <v>2</v>
      </c>
      <c r="H19" s="5">
        <v>40000</v>
      </c>
    </row>
    <row r="20" spans="1:8" ht="28.8" x14ac:dyDescent="0.3">
      <c r="A20" s="1">
        <v>1019</v>
      </c>
      <c r="B20" s="4">
        <v>45805</v>
      </c>
      <c r="C20" s="5" t="s">
        <v>24</v>
      </c>
      <c r="D20" s="5" t="s">
        <v>25</v>
      </c>
      <c r="E20" s="5" t="s">
        <v>10</v>
      </c>
      <c r="F20" s="5" t="s">
        <v>38</v>
      </c>
      <c r="G20" s="5">
        <v>3</v>
      </c>
      <c r="H20" s="5">
        <v>60000</v>
      </c>
    </row>
    <row r="21" spans="1:8" ht="28.8" x14ac:dyDescent="0.3">
      <c r="A21" s="1">
        <v>1020</v>
      </c>
      <c r="B21" s="4">
        <v>45811</v>
      </c>
      <c r="C21" s="5" t="s">
        <v>11</v>
      </c>
      <c r="D21" s="5" t="s">
        <v>12</v>
      </c>
      <c r="E21" s="5" t="s">
        <v>10</v>
      </c>
      <c r="F21" s="5" t="s">
        <v>39</v>
      </c>
      <c r="G21" s="5">
        <v>1</v>
      </c>
      <c r="H21" s="5">
        <v>55000</v>
      </c>
    </row>
    <row r="22" spans="1:8" ht="28.8" x14ac:dyDescent="0.3">
      <c r="A22" s="1">
        <v>1021</v>
      </c>
      <c r="B22" s="4">
        <v>45818</v>
      </c>
      <c r="C22" s="5" t="s">
        <v>18</v>
      </c>
      <c r="D22" s="5" t="s">
        <v>19</v>
      </c>
      <c r="E22" s="5" t="s">
        <v>15</v>
      </c>
      <c r="F22" s="5" t="s">
        <v>37</v>
      </c>
      <c r="G22" s="5">
        <v>4</v>
      </c>
      <c r="H22" s="5">
        <v>24000</v>
      </c>
    </row>
    <row r="23" spans="1:8" ht="28.8" x14ac:dyDescent="0.3">
      <c r="A23" s="1">
        <v>1022</v>
      </c>
      <c r="B23" s="4">
        <v>45825</v>
      </c>
      <c r="C23" s="5" t="s">
        <v>20</v>
      </c>
      <c r="D23" s="5" t="s">
        <v>21</v>
      </c>
      <c r="E23" s="5" t="s">
        <v>10</v>
      </c>
      <c r="F23" s="5" t="s">
        <v>35</v>
      </c>
      <c r="G23" s="5">
        <v>3</v>
      </c>
      <c r="H23" s="5">
        <v>90000</v>
      </c>
    </row>
    <row r="24" spans="1:8" ht="28.8" x14ac:dyDescent="0.3">
      <c r="A24" s="1">
        <v>1023</v>
      </c>
      <c r="B24" s="4">
        <v>45837</v>
      </c>
      <c r="C24" s="5" t="s">
        <v>13</v>
      </c>
      <c r="D24" s="5" t="s">
        <v>14</v>
      </c>
      <c r="E24" s="5" t="s">
        <v>15</v>
      </c>
      <c r="F24" s="5" t="s">
        <v>36</v>
      </c>
      <c r="G24" s="5">
        <v>8</v>
      </c>
      <c r="H24" s="5">
        <v>20000</v>
      </c>
    </row>
    <row r="25" spans="1:8" ht="28.8" x14ac:dyDescent="0.3">
      <c r="A25" s="1">
        <v>1024</v>
      </c>
      <c r="B25" s="4">
        <v>45842</v>
      </c>
      <c r="C25" s="5" t="s">
        <v>26</v>
      </c>
      <c r="D25" s="5" t="s">
        <v>27</v>
      </c>
      <c r="E25" s="5" t="s">
        <v>10</v>
      </c>
      <c r="F25" s="5" t="s">
        <v>38</v>
      </c>
      <c r="G25" s="5">
        <v>2</v>
      </c>
      <c r="H25" s="5">
        <v>30000</v>
      </c>
    </row>
    <row r="26" spans="1:8" ht="28.8" x14ac:dyDescent="0.3">
      <c r="A26" s="1">
        <v>1025</v>
      </c>
      <c r="B26" s="4">
        <v>45851</v>
      </c>
      <c r="C26" s="5" t="s">
        <v>8</v>
      </c>
      <c r="D26" s="5" t="s">
        <v>9</v>
      </c>
      <c r="E26" s="5" t="s">
        <v>10</v>
      </c>
      <c r="F26" s="5" t="s">
        <v>35</v>
      </c>
      <c r="G26" s="5">
        <v>1</v>
      </c>
      <c r="H26" s="5">
        <v>20000</v>
      </c>
    </row>
    <row r="27" spans="1:8" ht="28.8" x14ac:dyDescent="0.3">
      <c r="A27" s="1">
        <v>1026</v>
      </c>
      <c r="B27" s="4">
        <v>45859</v>
      </c>
      <c r="C27" s="5" t="s">
        <v>22</v>
      </c>
      <c r="D27" s="5" t="s">
        <v>23</v>
      </c>
      <c r="E27" s="5" t="s">
        <v>15</v>
      </c>
      <c r="F27" s="5" t="s">
        <v>37</v>
      </c>
      <c r="G27" s="5">
        <v>6</v>
      </c>
      <c r="H27" s="5">
        <v>18000</v>
      </c>
    </row>
    <row r="28" spans="1:8" ht="28.8" x14ac:dyDescent="0.3">
      <c r="A28" s="1">
        <v>1027</v>
      </c>
      <c r="B28" s="4">
        <v>45868</v>
      </c>
      <c r="C28" s="5" t="s">
        <v>11</v>
      </c>
      <c r="D28" s="5" t="s">
        <v>12</v>
      </c>
      <c r="E28" s="5" t="s">
        <v>10</v>
      </c>
      <c r="F28" s="5" t="s">
        <v>39</v>
      </c>
      <c r="G28" s="5">
        <v>2</v>
      </c>
      <c r="H28" s="5">
        <v>110000</v>
      </c>
    </row>
    <row r="29" spans="1:8" ht="28.8" x14ac:dyDescent="0.3">
      <c r="A29" s="1">
        <v>1028</v>
      </c>
      <c r="B29" s="4">
        <v>45874</v>
      </c>
      <c r="C29" s="5" t="s">
        <v>16</v>
      </c>
      <c r="D29" s="5" t="s">
        <v>17</v>
      </c>
      <c r="E29" s="5" t="s">
        <v>10</v>
      </c>
      <c r="F29" s="5" t="s">
        <v>36</v>
      </c>
      <c r="G29" s="5">
        <v>2</v>
      </c>
      <c r="H29" s="5">
        <v>50000</v>
      </c>
    </row>
    <row r="30" spans="1:8" ht="28.8" x14ac:dyDescent="0.3">
      <c r="A30" s="1">
        <v>1029</v>
      </c>
      <c r="B30" s="4">
        <v>45881</v>
      </c>
      <c r="C30" s="5" t="s">
        <v>13</v>
      </c>
      <c r="D30" s="5" t="s">
        <v>14</v>
      </c>
      <c r="E30" s="5" t="s">
        <v>15</v>
      </c>
      <c r="F30" s="5" t="s">
        <v>38</v>
      </c>
      <c r="G30" s="5">
        <v>7</v>
      </c>
      <c r="H30" s="5">
        <v>17500</v>
      </c>
    </row>
    <row r="31" spans="1:8" ht="28.8" x14ac:dyDescent="0.3">
      <c r="A31" s="1">
        <v>1030</v>
      </c>
      <c r="B31" s="4">
        <v>45892</v>
      </c>
      <c r="C31" s="5" t="s">
        <v>24</v>
      </c>
      <c r="D31" s="5" t="s">
        <v>25</v>
      </c>
      <c r="E31" s="5" t="s">
        <v>10</v>
      </c>
      <c r="F31" s="5" t="s">
        <v>37</v>
      </c>
      <c r="G31" s="5">
        <v>2</v>
      </c>
      <c r="H31" s="5">
        <v>40000</v>
      </c>
    </row>
    <row r="32" spans="1:8" ht="28.8" x14ac:dyDescent="0.3">
      <c r="A32" s="1">
        <v>1031</v>
      </c>
      <c r="B32" s="4">
        <v>45902</v>
      </c>
      <c r="C32" s="5" t="s">
        <v>8</v>
      </c>
      <c r="D32" s="5" t="s">
        <v>9</v>
      </c>
      <c r="E32" s="5" t="s">
        <v>10</v>
      </c>
      <c r="F32" s="5" t="s">
        <v>35</v>
      </c>
      <c r="G32" s="5">
        <v>3</v>
      </c>
      <c r="H32" s="5">
        <v>60000</v>
      </c>
    </row>
    <row r="33" spans="1:8" ht="28.8" x14ac:dyDescent="0.3">
      <c r="A33" s="1">
        <v>1032</v>
      </c>
      <c r="B33" s="4">
        <v>45910</v>
      </c>
      <c r="C33" s="5" t="s">
        <v>11</v>
      </c>
      <c r="D33" s="5" t="s">
        <v>12</v>
      </c>
      <c r="E33" s="5" t="s">
        <v>10</v>
      </c>
      <c r="F33" s="5" t="s">
        <v>36</v>
      </c>
      <c r="G33" s="5">
        <v>1</v>
      </c>
      <c r="H33" s="5">
        <v>55000</v>
      </c>
    </row>
    <row r="34" spans="1:8" ht="28.8" x14ac:dyDescent="0.3">
      <c r="A34" s="1">
        <v>1033</v>
      </c>
      <c r="B34" s="4">
        <v>45919</v>
      </c>
      <c r="C34" s="5" t="s">
        <v>22</v>
      </c>
      <c r="D34" s="5" t="s">
        <v>23</v>
      </c>
      <c r="E34" s="5" t="s">
        <v>15</v>
      </c>
      <c r="F34" s="5" t="s">
        <v>39</v>
      </c>
      <c r="G34" s="5">
        <v>5</v>
      </c>
      <c r="H34" s="5">
        <v>15000</v>
      </c>
    </row>
    <row r="35" spans="1:8" ht="28.8" x14ac:dyDescent="0.3">
      <c r="A35" s="1">
        <v>1034</v>
      </c>
      <c r="B35" s="4">
        <v>45928</v>
      </c>
      <c r="C35" s="5" t="s">
        <v>18</v>
      </c>
      <c r="D35" s="5" t="s">
        <v>19</v>
      </c>
      <c r="E35" s="5" t="s">
        <v>15</v>
      </c>
      <c r="F35" s="5" t="s">
        <v>37</v>
      </c>
      <c r="G35" s="5">
        <v>2</v>
      </c>
      <c r="H35" s="5">
        <v>12000</v>
      </c>
    </row>
    <row r="36" spans="1:8" ht="28.8" x14ac:dyDescent="0.3">
      <c r="A36" s="1">
        <v>1035</v>
      </c>
      <c r="B36" s="4">
        <v>45933</v>
      </c>
      <c r="C36" s="5" t="s">
        <v>20</v>
      </c>
      <c r="D36" s="5" t="s">
        <v>21</v>
      </c>
      <c r="E36" s="5" t="s">
        <v>10</v>
      </c>
      <c r="F36" s="5" t="s">
        <v>38</v>
      </c>
      <c r="G36" s="5">
        <v>2</v>
      </c>
      <c r="H36" s="5">
        <v>60000</v>
      </c>
    </row>
    <row r="37" spans="1:8" ht="28.8" x14ac:dyDescent="0.3">
      <c r="A37" s="1">
        <v>1036</v>
      </c>
      <c r="B37" s="4">
        <v>45941</v>
      </c>
      <c r="C37" s="5" t="s">
        <v>16</v>
      </c>
      <c r="D37" s="5" t="s">
        <v>17</v>
      </c>
      <c r="E37" s="5" t="s">
        <v>10</v>
      </c>
      <c r="F37" s="5" t="s">
        <v>35</v>
      </c>
      <c r="G37" s="5">
        <v>1</v>
      </c>
      <c r="H37" s="5">
        <v>25000</v>
      </c>
    </row>
    <row r="38" spans="1:8" ht="28.8" x14ac:dyDescent="0.3">
      <c r="A38" s="1">
        <v>1037</v>
      </c>
      <c r="B38" s="4">
        <v>45950</v>
      </c>
      <c r="C38" s="5" t="s">
        <v>26</v>
      </c>
      <c r="D38" s="5" t="s">
        <v>27</v>
      </c>
      <c r="E38" s="5" t="s">
        <v>10</v>
      </c>
      <c r="F38" s="5" t="s">
        <v>36</v>
      </c>
      <c r="G38" s="5">
        <v>3</v>
      </c>
      <c r="H38" s="5">
        <v>45000</v>
      </c>
    </row>
    <row r="39" spans="1:8" ht="28.8" x14ac:dyDescent="0.3">
      <c r="A39" s="1">
        <v>1038</v>
      </c>
      <c r="B39" s="4">
        <v>45959</v>
      </c>
      <c r="C39" s="5" t="s">
        <v>13</v>
      </c>
      <c r="D39" s="5" t="s">
        <v>14</v>
      </c>
      <c r="E39" s="5" t="s">
        <v>15</v>
      </c>
      <c r="F39" s="5" t="s">
        <v>39</v>
      </c>
      <c r="G39" s="5">
        <v>10</v>
      </c>
      <c r="H39" s="5">
        <v>25000</v>
      </c>
    </row>
    <row r="40" spans="1:8" ht="28.8" x14ac:dyDescent="0.3">
      <c r="A40" s="1">
        <v>1039</v>
      </c>
      <c r="B40" s="4">
        <v>45965</v>
      </c>
      <c r="C40" s="5" t="s">
        <v>11</v>
      </c>
      <c r="D40" s="5" t="s">
        <v>12</v>
      </c>
      <c r="E40" s="5" t="s">
        <v>10</v>
      </c>
      <c r="F40" s="5" t="s">
        <v>37</v>
      </c>
      <c r="G40" s="5">
        <v>2</v>
      </c>
      <c r="H40" s="5">
        <v>110000</v>
      </c>
    </row>
    <row r="41" spans="1:8" ht="28.8" x14ac:dyDescent="0.3">
      <c r="A41" s="1">
        <v>1040</v>
      </c>
      <c r="B41" s="4">
        <v>45976</v>
      </c>
      <c r="C41" s="5" t="s">
        <v>8</v>
      </c>
      <c r="D41" s="5" t="s">
        <v>9</v>
      </c>
      <c r="E41" s="5" t="s">
        <v>10</v>
      </c>
      <c r="F41" s="5" t="s">
        <v>38</v>
      </c>
      <c r="G41" s="5">
        <v>2</v>
      </c>
      <c r="H41" s="5">
        <v>40000</v>
      </c>
    </row>
    <row r="42" spans="1:8" ht="28.8" x14ac:dyDescent="0.3">
      <c r="A42" s="1">
        <v>1041</v>
      </c>
      <c r="B42" s="4">
        <v>45986</v>
      </c>
      <c r="C42" s="5" t="s">
        <v>22</v>
      </c>
      <c r="D42" s="5" t="s">
        <v>23</v>
      </c>
      <c r="E42" s="5" t="s">
        <v>15</v>
      </c>
      <c r="F42" s="5" t="s">
        <v>35</v>
      </c>
      <c r="G42" s="5">
        <v>8</v>
      </c>
      <c r="H42" s="5">
        <v>24000</v>
      </c>
    </row>
    <row r="43" spans="1:8" ht="28.8" x14ac:dyDescent="0.3">
      <c r="A43" s="1">
        <v>1042</v>
      </c>
      <c r="B43" s="4">
        <v>45993</v>
      </c>
      <c r="C43" s="5" t="s">
        <v>16</v>
      </c>
      <c r="D43" s="5" t="s">
        <v>17</v>
      </c>
      <c r="E43" s="5" t="s">
        <v>10</v>
      </c>
      <c r="F43" s="5" t="s">
        <v>36</v>
      </c>
      <c r="G43" s="5">
        <v>3</v>
      </c>
      <c r="H43" s="5">
        <v>75000</v>
      </c>
    </row>
    <row r="44" spans="1:8" ht="28.8" x14ac:dyDescent="0.3">
      <c r="A44" s="1">
        <v>1043</v>
      </c>
      <c r="B44" s="4">
        <v>46001</v>
      </c>
      <c r="C44" s="5" t="s">
        <v>20</v>
      </c>
      <c r="D44" s="5" t="s">
        <v>21</v>
      </c>
      <c r="E44" s="5" t="s">
        <v>10</v>
      </c>
      <c r="F44" s="5" t="s">
        <v>37</v>
      </c>
      <c r="G44" s="5">
        <v>1</v>
      </c>
      <c r="H44" s="5">
        <v>30000</v>
      </c>
    </row>
    <row r="45" spans="1:8" ht="28.8" x14ac:dyDescent="0.3">
      <c r="A45" s="1">
        <v>1044</v>
      </c>
      <c r="B45" s="4">
        <v>46009</v>
      </c>
      <c r="C45" s="5" t="s">
        <v>11</v>
      </c>
      <c r="D45" s="5" t="s">
        <v>12</v>
      </c>
      <c r="E45" s="5" t="s">
        <v>10</v>
      </c>
      <c r="F45" s="5" t="s">
        <v>38</v>
      </c>
      <c r="G45" s="5">
        <v>2</v>
      </c>
      <c r="H45" s="5">
        <v>110000</v>
      </c>
    </row>
    <row r="46" spans="1:8" ht="28.8" x14ac:dyDescent="0.3">
      <c r="A46" s="1">
        <v>1045</v>
      </c>
      <c r="B46" s="4">
        <v>46019</v>
      </c>
      <c r="C46" s="5" t="s">
        <v>8</v>
      </c>
      <c r="D46" s="5" t="s">
        <v>9</v>
      </c>
      <c r="E46" s="5" t="s">
        <v>10</v>
      </c>
      <c r="F46" s="5" t="s">
        <v>39</v>
      </c>
      <c r="G46" s="5">
        <v>4</v>
      </c>
      <c r="H46" s="5">
        <v>80000</v>
      </c>
    </row>
    <row r="47" spans="1:8" x14ac:dyDescent="0.3">
      <c r="A47" s="17">
        <f t="shared" ref="A47:H47" si="0">SUM(A2:A46)</f>
        <v>46035</v>
      </c>
      <c r="B47" s="17">
        <f t="shared" si="0"/>
        <v>2062613</v>
      </c>
      <c r="C47" s="17">
        <f t="shared" si="0"/>
        <v>0</v>
      </c>
      <c r="D47" s="17">
        <f t="shared" si="0"/>
        <v>0</v>
      </c>
      <c r="E47" s="17">
        <f t="shared" si="0"/>
        <v>0</v>
      </c>
      <c r="F47" s="17">
        <f t="shared" si="0"/>
        <v>0</v>
      </c>
      <c r="G47" s="17">
        <f t="shared" si="0"/>
        <v>141</v>
      </c>
      <c r="H47" s="17">
        <f t="shared" si="0"/>
        <v>2103000</v>
      </c>
    </row>
    <row r="48" spans="1:8" x14ac:dyDescent="0.3">
      <c r="A48" s="17">
        <f t="shared" ref="A48:H48" si="1">AVERAGE(A2:A47)</f>
        <v>2001.5217391304348</v>
      </c>
      <c r="B48" s="17">
        <f t="shared" si="1"/>
        <v>89678.826086956527</v>
      </c>
      <c r="C48" s="17">
        <f t="shared" si="1"/>
        <v>0</v>
      </c>
      <c r="D48" s="17">
        <f t="shared" si="1"/>
        <v>0</v>
      </c>
      <c r="E48" s="17">
        <f t="shared" si="1"/>
        <v>0</v>
      </c>
      <c r="F48" s="17">
        <f t="shared" si="1"/>
        <v>0</v>
      </c>
      <c r="G48" s="17">
        <f t="shared" si="1"/>
        <v>6.1304347826086953</v>
      </c>
      <c r="H48" s="17">
        <f t="shared" si="1"/>
        <v>91434.782608695648</v>
      </c>
    </row>
    <row r="49" spans="1:8" x14ac:dyDescent="0.3">
      <c r="A49" s="17">
        <f t="shared" ref="A49:H49" si="2">COUNTA(A2:A48)</f>
        <v>47</v>
      </c>
      <c r="B49" s="17">
        <f t="shared" si="2"/>
        <v>47</v>
      </c>
      <c r="C49" s="17">
        <f t="shared" si="2"/>
        <v>47</v>
      </c>
      <c r="D49" s="17">
        <f t="shared" si="2"/>
        <v>47</v>
      </c>
      <c r="E49" s="17">
        <f t="shared" si="2"/>
        <v>47</v>
      </c>
      <c r="F49" s="17">
        <f t="shared" si="2"/>
        <v>47</v>
      </c>
      <c r="G49" s="17">
        <f t="shared" si="2"/>
        <v>47</v>
      </c>
      <c r="H49" s="17">
        <f t="shared" si="2"/>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3915-740F-4C82-AD3A-845A58785E13}">
  <dimension ref="B3:Q85"/>
  <sheetViews>
    <sheetView tabSelected="1" zoomScale="52" workbookViewId="0">
      <selection activeCell="Y39" sqref="Y39"/>
    </sheetView>
  </sheetViews>
  <sheetFormatPr defaultRowHeight="14.4" x14ac:dyDescent="0.3"/>
  <cols>
    <col min="1" max="16384" width="8.88671875" style="19"/>
  </cols>
  <sheetData>
    <row r="3" spans="2:17" x14ac:dyDescent="0.3">
      <c r="H3" s="21" t="s">
        <v>55</v>
      </c>
      <c r="I3" s="20"/>
      <c r="J3" s="20"/>
      <c r="K3" s="20"/>
      <c r="L3" s="20"/>
      <c r="M3" s="20"/>
      <c r="N3" s="20"/>
      <c r="O3" s="20"/>
      <c r="P3" s="20"/>
      <c r="Q3" s="20"/>
    </row>
    <row r="4" spans="2:17" x14ac:dyDescent="0.3">
      <c r="H4" s="20"/>
      <c r="I4" s="20"/>
      <c r="J4" s="20"/>
      <c r="K4" s="20"/>
      <c r="L4" s="20"/>
      <c r="M4" s="20"/>
      <c r="N4" s="20"/>
      <c r="O4" s="20"/>
      <c r="P4" s="20"/>
      <c r="Q4" s="20"/>
    </row>
    <row r="5" spans="2:17" x14ac:dyDescent="0.3">
      <c r="H5" s="20"/>
      <c r="I5" s="20"/>
      <c r="J5" s="20"/>
      <c r="K5" s="20"/>
      <c r="L5" s="20"/>
      <c r="M5" s="20"/>
      <c r="N5" s="20"/>
      <c r="O5" s="20"/>
      <c r="P5" s="20"/>
      <c r="Q5" s="20"/>
    </row>
    <row r="6" spans="2:17" x14ac:dyDescent="0.3">
      <c r="H6" s="20"/>
      <c r="I6" s="20"/>
      <c r="J6" s="20"/>
      <c r="K6" s="20"/>
      <c r="L6" s="20"/>
      <c r="M6" s="20"/>
      <c r="N6" s="20"/>
      <c r="O6" s="20"/>
      <c r="P6" s="20"/>
      <c r="Q6" s="20"/>
    </row>
    <row r="7" spans="2:17" x14ac:dyDescent="0.3">
      <c r="B7" s="19" t="s">
        <v>56</v>
      </c>
    </row>
    <row r="63" spans="2:11" x14ac:dyDescent="0.3">
      <c r="B63" s="22" t="s">
        <v>58</v>
      </c>
      <c r="C63" s="22"/>
      <c r="D63" s="22"/>
      <c r="E63" s="22"/>
      <c r="F63" s="22"/>
      <c r="G63" s="22"/>
      <c r="H63" s="22"/>
      <c r="I63" s="22"/>
      <c r="J63" s="22"/>
      <c r="K63" s="22"/>
    </row>
    <row r="64" spans="2:11" x14ac:dyDescent="0.3">
      <c r="B64" s="22"/>
      <c r="C64" s="22"/>
      <c r="D64" s="22"/>
      <c r="E64" s="22"/>
      <c r="F64" s="22"/>
      <c r="G64" s="22"/>
      <c r="H64" s="22"/>
      <c r="I64" s="22"/>
      <c r="J64" s="22"/>
      <c r="K64" s="22"/>
    </row>
    <row r="65" spans="2:15" x14ac:dyDescent="0.3">
      <c r="B65" s="22"/>
      <c r="C65" s="22"/>
      <c r="D65" s="22"/>
      <c r="E65" s="22"/>
      <c r="F65" s="22"/>
      <c r="G65" s="22"/>
      <c r="H65" s="22"/>
      <c r="I65" s="22"/>
      <c r="J65" s="22"/>
      <c r="K65" s="22"/>
    </row>
    <row r="66" spans="2:15" x14ac:dyDescent="0.3">
      <c r="B66" s="22"/>
      <c r="C66" s="22"/>
      <c r="D66" s="22"/>
      <c r="E66" s="22"/>
      <c r="F66" s="22"/>
      <c r="G66" s="22"/>
      <c r="H66" s="22"/>
      <c r="I66" s="22"/>
      <c r="J66" s="22"/>
      <c r="K66" s="22"/>
    </row>
    <row r="67" spans="2:15" x14ac:dyDescent="0.3">
      <c r="B67" s="22"/>
      <c r="C67" s="22"/>
      <c r="D67" s="22"/>
      <c r="E67" s="22"/>
      <c r="F67" s="22"/>
      <c r="G67" s="22"/>
      <c r="H67" s="22"/>
      <c r="I67" s="22"/>
      <c r="J67" s="22"/>
      <c r="K67" s="22"/>
    </row>
    <row r="68" spans="2:15" x14ac:dyDescent="0.3">
      <c r="B68" s="22"/>
      <c r="C68" s="22"/>
      <c r="D68" s="22"/>
      <c r="E68" s="22"/>
      <c r="F68" s="22"/>
      <c r="G68" s="22"/>
      <c r="H68" s="22"/>
      <c r="I68" s="22"/>
      <c r="J68" s="22"/>
      <c r="K68" s="22"/>
    </row>
    <row r="69" spans="2:15" x14ac:dyDescent="0.3">
      <c r="B69" s="22"/>
      <c r="C69" s="22"/>
      <c r="D69" s="22"/>
      <c r="E69" s="22"/>
      <c r="F69" s="22"/>
      <c r="G69" s="22"/>
      <c r="H69" s="22"/>
      <c r="I69" s="22"/>
      <c r="J69" s="22"/>
      <c r="K69" s="22"/>
    </row>
    <row r="70" spans="2:15" x14ac:dyDescent="0.3">
      <c r="B70" s="22"/>
      <c r="C70" s="22"/>
      <c r="D70" s="22"/>
      <c r="E70" s="22"/>
      <c r="F70" s="22"/>
      <c r="G70" s="22"/>
      <c r="H70" s="22"/>
      <c r="I70" s="22"/>
      <c r="J70" s="22"/>
      <c r="K70" s="22"/>
    </row>
    <row r="73" spans="2:15" x14ac:dyDescent="0.3">
      <c r="F73" s="24" t="s">
        <v>57</v>
      </c>
      <c r="G73" s="25"/>
      <c r="H73" s="25"/>
      <c r="I73" s="25"/>
      <c r="J73" s="25"/>
      <c r="K73" s="25"/>
      <c r="L73" s="25"/>
      <c r="M73" s="25"/>
      <c r="N73" s="25"/>
      <c r="O73" s="25"/>
    </row>
    <row r="74" spans="2:15" x14ac:dyDescent="0.3">
      <c r="F74" s="25"/>
      <c r="G74" s="25"/>
      <c r="H74" s="25"/>
      <c r="I74" s="25"/>
      <c r="J74" s="25"/>
      <c r="K74" s="25"/>
      <c r="L74" s="25"/>
      <c r="M74" s="25"/>
      <c r="N74" s="25"/>
      <c r="O74" s="25"/>
    </row>
    <row r="75" spans="2:15" x14ac:dyDescent="0.3">
      <c r="F75" s="25"/>
      <c r="G75" s="25"/>
      <c r="H75" s="25"/>
      <c r="I75" s="25"/>
      <c r="J75" s="25"/>
      <c r="K75" s="25"/>
      <c r="L75" s="25"/>
      <c r="M75" s="25"/>
      <c r="N75" s="25"/>
      <c r="O75" s="25"/>
    </row>
    <row r="76" spans="2:15" x14ac:dyDescent="0.3">
      <c r="F76" s="25"/>
      <c r="G76" s="25"/>
      <c r="H76" s="25"/>
      <c r="I76" s="25"/>
      <c r="J76" s="25"/>
      <c r="K76" s="25"/>
      <c r="L76" s="25"/>
      <c r="M76" s="25"/>
      <c r="N76" s="25"/>
      <c r="O76" s="25"/>
    </row>
    <row r="77" spans="2:15" x14ac:dyDescent="0.3">
      <c r="F77" s="25"/>
      <c r="G77" s="25"/>
      <c r="H77" s="25"/>
      <c r="I77" s="25"/>
      <c r="J77" s="25"/>
      <c r="K77" s="25"/>
      <c r="L77" s="25"/>
      <c r="M77" s="25"/>
      <c r="N77" s="25"/>
      <c r="O77" s="25"/>
    </row>
    <row r="78" spans="2:15" x14ac:dyDescent="0.3">
      <c r="F78" s="25"/>
      <c r="G78" s="25"/>
      <c r="H78" s="25"/>
      <c r="I78" s="25"/>
      <c r="J78" s="25"/>
      <c r="K78" s="25"/>
      <c r="L78" s="25"/>
      <c r="M78" s="25"/>
      <c r="N78" s="25"/>
      <c r="O78" s="25"/>
    </row>
    <row r="79" spans="2:15" x14ac:dyDescent="0.3">
      <c r="F79" s="25"/>
      <c r="G79" s="25"/>
      <c r="H79" s="25"/>
      <c r="I79" s="25"/>
      <c r="J79" s="25"/>
      <c r="K79" s="25"/>
      <c r="L79" s="25"/>
      <c r="M79" s="25"/>
      <c r="N79" s="25"/>
      <c r="O79" s="25"/>
    </row>
    <row r="80" spans="2:15" x14ac:dyDescent="0.3">
      <c r="F80" s="25"/>
      <c r="G80" s="25"/>
      <c r="H80" s="25"/>
      <c r="I80" s="25"/>
      <c r="J80" s="25"/>
      <c r="K80" s="25"/>
      <c r="L80" s="25"/>
      <c r="M80" s="25"/>
      <c r="N80" s="25"/>
      <c r="O80" s="25"/>
    </row>
    <row r="81" spans="6:15" x14ac:dyDescent="0.3">
      <c r="F81" s="25"/>
      <c r="G81" s="25"/>
      <c r="H81" s="25"/>
      <c r="I81" s="25"/>
      <c r="J81" s="25"/>
      <c r="K81" s="25"/>
      <c r="L81" s="25"/>
      <c r="M81" s="25"/>
      <c r="N81" s="25"/>
      <c r="O81" s="25"/>
    </row>
    <row r="82" spans="6:15" x14ac:dyDescent="0.3">
      <c r="F82" s="25"/>
      <c r="G82" s="25"/>
      <c r="H82" s="25"/>
      <c r="I82" s="25"/>
      <c r="J82" s="25"/>
      <c r="K82" s="25"/>
      <c r="L82" s="25"/>
      <c r="M82" s="25"/>
      <c r="N82" s="25"/>
      <c r="O82" s="25"/>
    </row>
    <row r="83" spans="6:15" x14ac:dyDescent="0.3">
      <c r="F83" s="25"/>
      <c r="G83" s="25"/>
      <c r="H83" s="25"/>
      <c r="I83" s="25"/>
      <c r="J83" s="25"/>
      <c r="K83" s="25"/>
      <c r="L83" s="25"/>
      <c r="M83" s="25"/>
      <c r="N83" s="25"/>
      <c r="O83" s="25"/>
    </row>
    <row r="84" spans="6:15" x14ac:dyDescent="0.3">
      <c r="F84" s="25"/>
      <c r="G84" s="25"/>
      <c r="H84" s="25"/>
      <c r="I84" s="25"/>
      <c r="J84" s="25"/>
      <c r="K84" s="25"/>
      <c r="L84" s="25"/>
      <c r="M84" s="25"/>
      <c r="N84" s="25"/>
      <c r="O84" s="25"/>
    </row>
    <row r="85" spans="6:15" x14ac:dyDescent="0.3">
      <c r="F85" s="25"/>
      <c r="G85" s="25"/>
      <c r="H85" s="25"/>
      <c r="I85" s="25"/>
      <c r="J85" s="25"/>
      <c r="K85" s="25"/>
      <c r="L85" s="25"/>
      <c r="M85" s="25"/>
      <c r="N85" s="25"/>
      <c r="O85" s="25"/>
    </row>
  </sheetData>
  <mergeCells count="3">
    <mergeCell ref="H3:Q6"/>
    <mergeCell ref="B63:K70"/>
    <mergeCell ref="F73:O8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Shamneer Chemmi</dc:creator>
  <cp:lastModifiedBy>Shamneer Chemmi</cp:lastModifiedBy>
  <dcterms:created xsi:type="dcterms:W3CDTF">2026-02-09T06:02:29Z</dcterms:created>
  <dcterms:modified xsi:type="dcterms:W3CDTF">2026-02-09T17:01:59Z</dcterms:modified>
</cp:coreProperties>
</file>